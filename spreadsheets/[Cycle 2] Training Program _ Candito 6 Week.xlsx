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Week 1 ✅" sheetId="2" r:id="rId5"/>
    <sheet state="visible" name="Week 2 ✅" sheetId="3" r:id="rId6"/>
    <sheet state="visible" name="Week 3 ✅" sheetId="4" r:id="rId7"/>
    <sheet state="visible" name="Week 4 ✅" sheetId="5" r:id="rId8"/>
    <sheet state="visible" name="Week 5 ✅" sheetId="6" r:id="rId9"/>
    <sheet state="visible" name="Week 6" sheetId="7" r:id="rId10"/>
  </sheets>
  <definedNames/>
  <calcPr/>
</workbook>
</file>

<file path=xl/sharedStrings.xml><?xml version="1.0" encoding="utf-8"?>
<sst xmlns="http://schemas.openxmlformats.org/spreadsheetml/2006/main" count="621" uniqueCount="134">
  <si>
    <t>To Save: File --&gt; Make a Copy | Thanks, liftvault.com</t>
  </si>
  <si>
    <t>Also available on the Boostcamp app</t>
  </si>
  <si>
    <t>Candito 6 Week Strength Program</t>
  </si>
  <si>
    <t>Options</t>
  </si>
  <si>
    <t>Weight</t>
  </si>
  <si>
    <t>Upper Back #1 (Horizontal pull)</t>
  </si>
  <si>
    <t>Shoulders</t>
  </si>
  <si>
    <t>Upper Back #2 (vertical pull)</t>
  </si>
  <si>
    <t>Complete the fields in blue, and excel will automatically formulate your workouts, each week is printable.</t>
  </si>
  <si>
    <t>kg</t>
  </si>
  <si>
    <t>Dumbbell Row</t>
  </si>
  <si>
    <t>Seated Dumbbell OHP</t>
  </si>
  <si>
    <t>Weighted Pull-up</t>
  </si>
  <si>
    <t>lb</t>
  </si>
  <si>
    <t>Barbell Row</t>
  </si>
  <si>
    <t>Standing Dumbbell OHP</t>
  </si>
  <si>
    <t>Weighted Chin-up</t>
  </si>
  <si>
    <t>What date do you want to start the Program?</t>
  </si>
  <si>
    <t>Machine Row</t>
  </si>
  <si>
    <t>Military Press</t>
  </si>
  <si>
    <t>Lat Pulldown</t>
  </si>
  <si>
    <t>Date</t>
  </si>
  <si>
    <t>Lateral Dumbell Raise</t>
  </si>
  <si>
    <t>Do you track your weights in kilograms or pounds?</t>
  </si>
  <si>
    <t>Weights in</t>
  </si>
  <si>
    <t>What are your 1RM's for the following lifts?</t>
  </si>
  <si>
    <t>Bench Press</t>
  </si>
  <si>
    <t>Squat</t>
  </si>
  <si>
    <t>Deadlift</t>
  </si>
  <si>
    <t>Choose Your Preferred Accessory Exercises</t>
  </si>
  <si>
    <t>Upper Back Exercise #1 (horizontal pull)</t>
  </si>
  <si>
    <t>Shoulder Exercise</t>
  </si>
  <si>
    <t>Upper Back Exercise #2 (vertical pull)</t>
  </si>
  <si>
    <t>Additional Information</t>
  </si>
  <si>
    <t>MR = Max Reps</t>
  </si>
  <si>
    <t>MR10 = Max Reps but no more than 10.</t>
  </si>
  <si>
    <t>Deadlift Variation = Stiff Legged DL, Snatch Grip DL, Deficit DL, or Pause DL.</t>
  </si>
  <si>
    <t>If you ever fail a required rep, reduce your max by 2.5%.</t>
  </si>
  <si>
    <t>Week 1 - Muscular Conditioning (W/ Moderate Difficulty)</t>
  </si>
  <si>
    <t>✅ (did only 5 instead of 6 on the last two sets of front squats)</t>
  </si>
  <si>
    <t>Set 1</t>
  </si>
  <si>
    <t>Set 2</t>
  </si>
  <si>
    <t>Set 3</t>
  </si>
  <si>
    <t>Set 4</t>
  </si>
  <si>
    <t>Warm Up</t>
  </si>
  <si>
    <t>x6</t>
  </si>
  <si>
    <t>x6 - did only 5</t>
  </si>
  <si>
    <t>x6 - did 5</t>
  </si>
  <si>
    <t>x6 (didn</t>
  </si>
  <si>
    <t>Optional Exercise 1</t>
  </si>
  <si>
    <t>Optional Exercise 2</t>
  </si>
  <si>
    <t>✅</t>
  </si>
  <si>
    <t>x10</t>
  </si>
  <si>
    <t>x8</t>
  </si>
  <si>
    <t>x12</t>
  </si>
  <si>
    <t>x8-12</t>
  </si>
  <si>
    <t>x8 did only 6 because I FORGOT</t>
  </si>
  <si>
    <t>Normal pull-ups (was supposed to be weighted/assisted pull ups, but machine was busy)</t>
  </si>
  <si>
    <t>BW</t>
  </si>
  <si>
    <t>x5</t>
  </si>
  <si>
    <t>Did normal pull ups here: 5 reps, 5 reps, 5 reps, 5 reps</t>
  </si>
  <si>
    <t>🟡 reduced reps</t>
  </si>
  <si>
    <t>x8 - did only 6</t>
  </si>
  <si>
    <t>x8 - did 4, then +4</t>
  </si>
  <si>
    <t>x8 - did 6</t>
  </si>
  <si>
    <t>xMR - did 10</t>
  </si>
  <si>
    <t>Week 2 - Muscular Conditioning/Hypertrophy (W/ Higher Difficulty)</t>
  </si>
  <si>
    <t>xMR10 - did 8</t>
  </si>
  <si>
    <t>8 reps</t>
  </si>
  <si>
    <t>Extra Volume Squats - Add 5 lbs or 2.5 kg if using kg plates, then perform 5 sets x 3 reps each set with 60 seconds rest between sets.</t>
  </si>
  <si>
    <t>DONE!</t>
  </si>
  <si>
    <t>Note - If you were not able to complete a minimum of 8 reps on the MR10 set, reduce max entered by 2.5% moving forward.</t>
  </si>
  <si>
    <t>Still complete the 5 sets of 3 reps regardless even if you do perform less than 8 reps on the MR10 set.</t>
  </si>
  <si>
    <t>Deadlift Variation</t>
  </si>
  <si>
    <t>First one normal grip, next ones inverse grip</t>
  </si>
  <si>
    <t>x6-8 - did 8</t>
  </si>
  <si>
    <t>MACHINE ROW (replacement)</t>
  </si>
  <si>
    <t>Gym full replaced by machine row!</t>
  </si>
  <si>
    <t>Back Off Squats - Reduce weight by 10 lbs or 5 kg if using kg plates.  Then proceed with the following:</t>
  </si>
  <si>
    <t>If you were able to complete 10 reps on the MR10 set, perform 10 sets of 3 reps per set, with 60 seconds rest between sets.</t>
  </si>
  <si>
    <t>If you completed 8-9 reps on the MR10 set, perform 8 sets of 3 reps per set, with 60 seconds rest between sets.</t>
  </si>
  <si>
    <t>8 so far</t>
  </si>
  <si>
    <t>If you completed 7 reps on the MR 10 set, perform 5 sets of 3 reps per set, with 60 seconds rest between sets.</t>
  </si>
  <si>
    <t>If you completed less than 7 reps, skip back off sets entirely and reduce your entered 1 rep max by at least 2.5% for following weeks.</t>
  </si>
  <si>
    <t>-25 (but effectively zero, I was faster than the thing, and -30 = 10kg up)</t>
  </si>
  <si>
    <t>Did it on saturday!</t>
  </si>
  <si>
    <t>xMR - did 13</t>
  </si>
  <si>
    <t>Week 3 - Linear Max OT Phase</t>
  </si>
  <si>
    <t>x4-6 - did 6</t>
  </si>
  <si>
    <t>x4-6 - did 5</t>
  </si>
  <si>
    <t>x3-6 - did 5</t>
  </si>
  <si>
    <t>x3-6 - did 4</t>
  </si>
  <si>
    <t>No Accessory Lifts</t>
  </si>
  <si>
    <t>x4-6</t>
  </si>
  <si>
    <t>Aim for 70kg slow</t>
  </si>
  <si>
    <t>x6 - did 4, then tried again and got 0, then tried again and got the last 2</t>
  </si>
  <si>
    <t>Aim for 47.5</t>
  </si>
  <si>
    <t>0kg</t>
  </si>
  <si>
    <t>Aim for 3x6x0kg, if too easy learn how to add some weight</t>
  </si>
  <si>
    <t>No Optional Exercises</t>
  </si>
  <si>
    <t>x4-6 - did 4, then 2 after a pause</t>
  </si>
  <si>
    <t>x4-6 - did 6 I think</t>
  </si>
  <si>
    <t>x6 - did 4</t>
  </si>
  <si>
    <t>Did 2 reps of 45kg</t>
  </si>
  <si>
    <t>Week 4 - Heavy Weight Acclimation</t>
  </si>
  <si>
    <t>x3</t>
  </si>
  <si>
    <t>DONE</t>
  </si>
  <si>
    <t>Doing it paused</t>
  </si>
  <si>
    <t>x12 - did 11+1</t>
  </si>
  <si>
    <t>x10 - did 6</t>
  </si>
  <si>
    <t>x12 - did 10</t>
  </si>
  <si>
    <t>x10 - did 8</t>
  </si>
  <si>
    <t>Doing it the day after since I missed it on thursday</t>
  </si>
  <si>
    <t>x1-2</t>
  </si>
  <si>
    <t>x2-4</t>
  </si>
  <si>
    <t>Did 3, 4, and then 2x80kg</t>
  </si>
  <si>
    <t>x8 - did 7</t>
  </si>
  <si>
    <t>Week 5 - High Intensity Strength</t>
  </si>
  <si>
    <t>x1-4</t>
  </si>
  <si>
    <t>Did 4</t>
  </si>
  <si>
    <t>x4</t>
  </si>
  <si>
    <t>x2</t>
  </si>
  <si>
    <t>Optional Lower Body</t>
  </si>
  <si>
    <t>For Week 6 You Have 3 Options</t>
  </si>
  <si>
    <t>1.  Skip Week 6.  Just use projected one rep max from last week's 1-4 rep set.  Start next cycle.</t>
  </si>
  <si>
    <t>2.  Use projected max for next cycle, but take a deload week (repeat week 1 but skip last upper workout).</t>
  </si>
  <si>
    <t>3.  Take this 6th week to actually find your 1 rep max.  Then either deload or start new cycle.</t>
  </si>
  <si>
    <t>Determining Projected Max</t>
  </si>
  <si>
    <t>Take what you lifted in week 5, and multiply by 1.03 if you completed 2 reps, 1.06 if 3 reps, and 1.09 if 4 reps.</t>
  </si>
  <si>
    <t>Enter your new 1RM's below to see your progress!</t>
  </si>
  <si>
    <t>Old 1RM</t>
  </si>
  <si>
    <t>New 1RM</t>
  </si>
  <si>
    <t>Increase</t>
  </si>
  <si>
    <t>NOTE: decided to go with option #1, SKIP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</si>
</sst>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dddd&quot;, &quot;mmmm&quot; &quot;d&quot;, &quot;yyyy"/>
    <numFmt numFmtId="166" formatCode="dddd\,\ mmmm\ d\,\ yy"/>
    <numFmt numFmtId="167" formatCode="#,##0.###########"/>
    <numFmt numFmtId="168" formatCode="#,##0.###############"/>
  </numFmts>
  <fonts count="9">
    <font>
      <sz val="10.0"/>
      <color rgb="FF000000"/>
      <name val="Arial"/>
    </font>
    <font>
      <b/>
      <color rgb="FFFFFFFF"/>
      <name val="Arial"/>
    </font>
    <font/>
    <font>
      <name val="Arial"/>
    </font>
    <font>
      <u/>
      <sz val="10.0"/>
      <color rgb="FF1155CC"/>
      <name val="Arial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shrinkToFit="0" vertical="center" wrapText="0"/>
    </xf>
    <xf borderId="9" fillId="0" fontId="8" numFmtId="165" xfId="0" applyAlignment="1" applyBorder="1" applyFont="1" applyNumberForma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0"/>
    </xf>
    <xf borderId="7" fillId="0" fontId="8" numFmtId="164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8" fillId="0" fontId="6" numFmtId="0" xfId="0" applyAlignment="1" applyBorder="1" applyFont="1">
      <alignment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7" fillId="0" fontId="6" numFmtId="0" xfId="0" applyAlignment="1" applyBorder="1" applyFont="1">
      <alignment shrinkToFit="0" vertical="center" wrapText="0"/>
    </xf>
    <xf borderId="7" fillId="0" fontId="6" numFmtId="164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readingOrder="0" shrinkToFit="0" vertical="center" wrapText="0"/>
    </xf>
    <xf borderId="19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0" fillId="3" fontId="6" numFmtId="0" xfId="0" applyAlignment="1" applyBorder="1" applyFill="1" applyFont="1">
      <alignment shrinkToFit="0" vertical="center" wrapText="0"/>
    </xf>
    <xf borderId="21" fillId="3" fontId="6" numFmtId="0" xfId="0" applyAlignment="1" applyBorder="1" applyFont="1">
      <alignment readingOrder="0" shrinkToFit="0" vertical="center" wrapText="0"/>
    </xf>
    <xf borderId="21" fillId="3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readingOrder="0" shrinkToFit="0" vertical="center" wrapText="0"/>
    </xf>
    <xf borderId="23" fillId="3" fontId="6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readingOrder="0" shrinkToFit="0" vertical="center" wrapText="0"/>
    </xf>
    <xf borderId="19" fillId="0" fontId="6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17" fillId="3" fontId="6" numFmtId="0" xfId="0" applyAlignment="1" applyBorder="1" applyFont="1">
      <alignment shrinkToFit="0" vertical="center" wrapText="0"/>
    </xf>
    <xf borderId="18" fillId="3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25" fillId="3" fontId="6" numFmtId="0" xfId="0" applyAlignment="1" applyBorder="1" applyFont="1">
      <alignment shrinkToFit="0" vertical="center" wrapText="0"/>
    </xf>
    <xf borderId="26" fillId="0" fontId="0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vertical="center" wrapText="0"/>
    </xf>
    <xf borderId="30" fillId="3" fontId="6" numFmtId="0" xfId="0" applyAlignment="1" applyBorder="1" applyFont="1">
      <alignment shrinkToFit="0" vertical="center" wrapText="0"/>
    </xf>
    <xf borderId="26" fillId="0" fontId="6" numFmtId="0" xfId="0" applyAlignment="1" applyBorder="1" applyFont="1">
      <alignment shrinkToFit="0" vertical="center" wrapText="0"/>
    </xf>
    <xf borderId="7" fillId="0" fontId="6" numFmtId="0" xfId="0" applyAlignment="1" applyBorder="1" applyFont="1">
      <alignment readingOrder="0" shrinkToFit="0" vertical="center" wrapText="0"/>
    </xf>
    <xf borderId="22" fillId="3" fontId="6" numFmtId="0" xfId="0" applyAlignment="1" applyBorder="1" applyFont="1">
      <alignment shrinkToFit="0" vertical="center" wrapText="0"/>
    </xf>
    <xf borderId="7" fillId="0" fontId="0" numFmtId="0" xfId="0" applyAlignment="1" applyBorder="1" applyFont="1">
      <alignment shrinkToFit="0" wrapText="1"/>
    </xf>
    <xf borderId="17" fillId="4" fontId="6" numFmtId="0" xfId="0" applyAlignment="1" applyBorder="1" applyFill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31" fillId="3" fontId="0" numFmtId="0" xfId="0" applyAlignment="1" applyBorder="1" applyFont="1">
      <alignment shrinkToFit="0" wrapText="1"/>
    </xf>
    <xf borderId="32" fillId="3" fontId="0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1"/>
    </xf>
    <xf borderId="8" fillId="0" fontId="0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33" fillId="0" fontId="0" numFmtId="0" xfId="0" applyAlignment="1" applyBorder="1" applyFont="1">
      <alignment shrinkToFit="0" wrapText="1"/>
    </xf>
    <xf borderId="12" fillId="0" fontId="0" numFmtId="167" xfId="0" applyAlignment="1" applyBorder="1" applyFont="1" applyNumberFormat="1">
      <alignment shrinkToFit="0" wrapText="1"/>
    </xf>
    <xf borderId="34" fillId="0" fontId="6" numFmtId="0" xfId="0" applyAlignment="1" applyBorder="1" applyFont="1">
      <alignment readingOrder="0" shrinkToFit="0" vertical="center" wrapText="0"/>
    </xf>
    <xf borderId="12" fillId="0" fontId="0" numFmtId="168" xfId="0" applyAlignment="1" applyBorder="1" applyFont="1" applyNumberFormat="1">
      <alignment shrinkToFit="0" wrapText="1"/>
    </xf>
    <xf borderId="35" fillId="0" fontId="8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stcamp.app/candito-six-week-program?utm_source=liftvault&amp;utm_medium=spreadsheet&amp;utm_campaign=va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13"/>
    <col customWidth="1" min="2" max="2" width="22.75"/>
    <col customWidth="1" min="3" max="10" width="8.5"/>
    <col customWidth="1" hidden="1" min="11" max="14" width="20.63"/>
    <col customWidth="1" min="15" max="27" width="9.13"/>
  </cols>
  <sheetData>
    <row r="1" ht="17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</row>
    <row r="3" ht="24.75" customHeight="1">
      <c r="A3" s="9" t="s">
        <v>2</v>
      </c>
      <c r="B3" s="10"/>
      <c r="C3" s="10"/>
      <c r="D3" s="10"/>
      <c r="E3" s="10"/>
      <c r="F3" s="10"/>
      <c r="G3" s="10"/>
      <c r="H3" s="11"/>
      <c r="I3" s="12"/>
      <c r="J3" s="8"/>
      <c r="K3" s="8" t="s">
        <v>3</v>
      </c>
      <c r="L3" s="8"/>
      <c r="M3" s="8"/>
      <c r="N3" s="8"/>
    </row>
    <row r="4" ht="17.25" customHeight="1">
      <c r="A4" s="13"/>
      <c r="B4" s="14"/>
      <c r="C4" s="13"/>
      <c r="D4" s="13"/>
      <c r="E4" s="13"/>
      <c r="F4" s="13"/>
      <c r="G4" s="13"/>
      <c r="H4" s="13"/>
      <c r="I4" s="8"/>
      <c r="J4" s="8"/>
      <c r="K4" s="8" t="s">
        <v>4</v>
      </c>
      <c r="L4" s="8" t="s">
        <v>5</v>
      </c>
      <c r="M4" s="8" t="s">
        <v>6</v>
      </c>
      <c r="N4" s="8" t="s">
        <v>7</v>
      </c>
    </row>
    <row r="5" ht="17.25" customHeight="1">
      <c r="A5" s="8" t="s">
        <v>8</v>
      </c>
      <c r="D5" s="8"/>
      <c r="E5" s="8"/>
      <c r="F5" s="8"/>
      <c r="G5" s="8"/>
      <c r="H5" s="8"/>
      <c r="I5" s="8"/>
      <c r="J5" s="8"/>
      <c r="K5" s="8" t="s">
        <v>9</v>
      </c>
      <c r="L5" s="8" t="s">
        <v>10</v>
      </c>
      <c r="M5" s="8" t="s">
        <v>11</v>
      </c>
      <c r="N5" s="8" t="s">
        <v>12</v>
      </c>
    </row>
    <row r="6" ht="17.25" customHeight="1">
      <c r="A6" s="8"/>
      <c r="B6" s="7"/>
      <c r="C6" s="8"/>
      <c r="D6" s="8"/>
      <c r="E6" s="8"/>
      <c r="F6" s="8"/>
      <c r="G6" s="8"/>
      <c r="H6" s="8"/>
      <c r="I6" s="8"/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ht="17.25" customHeight="1">
      <c r="A7" s="15" t="s">
        <v>17</v>
      </c>
      <c r="B7" s="16"/>
      <c r="C7" s="8"/>
      <c r="D7" s="8"/>
      <c r="E7" s="8"/>
      <c r="F7" s="8"/>
      <c r="G7" s="8"/>
      <c r="H7" s="8"/>
      <c r="I7" s="8"/>
      <c r="J7" s="8"/>
      <c r="K7" s="8"/>
      <c r="L7" s="8" t="s">
        <v>18</v>
      </c>
      <c r="M7" s="8" t="s">
        <v>19</v>
      </c>
      <c r="N7" s="8" t="s">
        <v>20</v>
      </c>
    </row>
    <row r="8" ht="17.25" customHeight="1">
      <c r="A8" s="17" t="s">
        <v>21</v>
      </c>
      <c r="B8" s="18">
        <v>45978.0</v>
      </c>
      <c r="C8" s="19"/>
      <c r="D8" s="8"/>
      <c r="E8" s="15"/>
      <c r="F8" s="7"/>
      <c r="G8" s="8"/>
      <c r="H8" s="8"/>
      <c r="I8" s="8"/>
      <c r="J8" s="8"/>
      <c r="K8" s="8"/>
      <c r="L8" s="8"/>
      <c r="M8" s="8" t="s">
        <v>22</v>
      </c>
      <c r="N8" s="8"/>
    </row>
    <row r="9" ht="17.25" customHeight="1">
      <c r="A9" s="20"/>
      <c r="B9" s="21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</row>
    <row r="10" ht="17.25" customHeight="1">
      <c r="A10" s="22" t="s">
        <v>23</v>
      </c>
      <c r="B10" s="23"/>
      <c r="C10" s="8"/>
      <c r="D10" s="8"/>
      <c r="E10" s="8"/>
      <c r="F10" s="7"/>
      <c r="G10" s="8"/>
      <c r="H10" s="8"/>
      <c r="I10" s="8"/>
      <c r="J10" s="8"/>
      <c r="K10" s="8"/>
      <c r="L10" s="8"/>
      <c r="M10" s="8"/>
      <c r="N10" s="8"/>
    </row>
    <row r="11" ht="17.25" customHeight="1">
      <c r="A11" s="17" t="s">
        <v>24</v>
      </c>
      <c r="B11" s="24" t="s">
        <v>9</v>
      </c>
      <c r="C11" s="19"/>
      <c r="D11" s="8"/>
      <c r="E11" s="8"/>
      <c r="F11" s="7"/>
      <c r="G11" s="8"/>
      <c r="H11" s="8"/>
      <c r="I11" s="8"/>
      <c r="J11" s="8"/>
      <c r="K11" s="8"/>
      <c r="L11" s="8"/>
      <c r="M11" s="8"/>
      <c r="N11" s="8"/>
    </row>
    <row r="12" ht="17.25" customHeight="1">
      <c r="A12" s="20"/>
      <c r="B12" s="14"/>
      <c r="C12" s="8"/>
      <c r="D12" s="8"/>
      <c r="E12" s="25"/>
      <c r="F12" s="25"/>
      <c r="G12" s="8"/>
      <c r="H12" s="8"/>
      <c r="I12" s="8"/>
      <c r="J12" s="8"/>
      <c r="K12" s="8"/>
      <c r="L12" s="8"/>
      <c r="M12" s="8"/>
      <c r="N12" s="8"/>
    </row>
    <row r="13" ht="17.25" customHeight="1">
      <c r="A13" s="15" t="s">
        <v>25</v>
      </c>
      <c r="B13" s="1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7.25" customHeight="1">
      <c r="A14" s="26" t="s">
        <v>26</v>
      </c>
      <c r="B14" s="24">
        <v>84.6</v>
      </c>
      <c r="C14" s="27" t="str">
        <f>B11</f>
        <v>kg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7.25" customHeight="1">
      <c r="A15" s="26" t="s">
        <v>27</v>
      </c>
      <c r="B15" s="24">
        <v>103.6</v>
      </c>
      <c r="C15" s="27" t="str">
        <f>B11</f>
        <v>kg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7.25" customHeight="1">
      <c r="A16" s="26" t="s">
        <v>28</v>
      </c>
      <c r="B16" s="24">
        <v>150.0</v>
      </c>
      <c r="C16" s="27" t="str">
        <f>B11</f>
        <v>kg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7.25" customHeight="1">
      <c r="A17" s="8"/>
      <c r="B17" s="14"/>
      <c r="C17" s="8"/>
      <c r="D17" s="8"/>
      <c r="E17" s="15"/>
      <c r="F17" s="15"/>
      <c r="G17" s="8"/>
      <c r="H17" s="8"/>
      <c r="I17" s="8"/>
      <c r="J17" s="8"/>
      <c r="K17" s="8"/>
      <c r="L17" s="8"/>
      <c r="M17" s="8"/>
      <c r="N17" s="8"/>
    </row>
    <row r="18" ht="17.25" customHeight="1">
      <c r="A18" s="15" t="s">
        <v>29</v>
      </c>
      <c r="B18" s="2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7.25" customHeight="1">
      <c r="A19" s="29" t="s">
        <v>30</v>
      </c>
      <c r="B19" s="30" t="s">
        <v>14</v>
      </c>
      <c r="C19" s="3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7.25" customHeight="1">
      <c r="A20" s="29" t="s">
        <v>31</v>
      </c>
      <c r="B20" s="30" t="s">
        <v>19</v>
      </c>
      <c r="C20" s="3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7.25" customHeight="1">
      <c r="A21" s="29" t="s">
        <v>32</v>
      </c>
      <c r="B21" s="30" t="s">
        <v>12</v>
      </c>
      <c r="C21" s="3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7.25" customHeight="1">
      <c r="A22" s="8"/>
      <c r="B22" s="3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8.0" customHeight="1">
      <c r="A23" s="15" t="s">
        <v>33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7.25" customHeight="1">
      <c r="A24" s="8" t="s">
        <v>34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8.0" customHeight="1">
      <c r="A25" s="8" t="s">
        <v>35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.0" customHeight="1">
      <c r="A26" s="8" t="s">
        <v>36</v>
      </c>
      <c r="G26" s="8"/>
      <c r="H26" s="8"/>
      <c r="I26" s="8"/>
      <c r="J26" s="8"/>
      <c r="K26" s="8"/>
      <c r="L26" s="8"/>
      <c r="M26" s="8"/>
      <c r="N26" s="8"/>
    </row>
    <row r="27" ht="18.0" customHeight="1">
      <c r="A27" s="8" t="s">
        <v>37</v>
      </c>
      <c r="F27" s="8"/>
      <c r="G27" s="8"/>
      <c r="H27" s="8"/>
      <c r="I27" s="8"/>
      <c r="J27" s="8"/>
      <c r="K27" s="8"/>
      <c r="L27" s="8"/>
      <c r="M27" s="8"/>
      <c r="N27" s="8"/>
    </row>
    <row r="28" ht="17.25" customHeight="1">
      <c r="A28" s="8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7.25" customHeight="1">
      <c r="A29" s="8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7.25" customHeight="1">
      <c r="A30" s="8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.25" customHeight="1">
      <c r="A31" s="8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7.25" customHeight="1">
      <c r="A32" s="8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7.25" customHeight="1">
      <c r="A33" s="8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7.25" customHeight="1">
      <c r="A34" s="8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7.25" customHeight="1">
      <c r="A35" s="8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7.25" customHeight="1">
      <c r="A36" s="8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7.25" customHeight="1">
      <c r="A37" s="8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7.25" customHeight="1">
      <c r="A38" s="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7.25" customHeight="1">
      <c r="A39" s="8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7.25" customHeight="1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7.25" customHeight="1">
      <c r="A41" s="8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7.25" customHeight="1">
      <c r="A42" s="8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7.25" customHeight="1">
      <c r="A43" s="8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7.25" customHeight="1">
      <c r="A44" s="8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7.25" customHeight="1">
      <c r="A45" s="8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7.25" customHeight="1">
      <c r="A46" s="8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7.25" customHeight="1">
      <c r="A47" s="8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7.25" customHeight="1">
      <c r="A48" s="8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7.25" customHeight="1">
      <c r="A49" s="8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7.25" customHeight="1">
      <c r="A50" s="8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7.25" customHeight="1">
      <c r="A51" s="8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7.25" customHeight="1">
      <c r="A52" s="8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7.25" customHeight="1">
      <c r="A53" s="8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7.25" customHeight="1">
      <c r="A54" s="8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7.25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7.25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7.25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7.25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.25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7.25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7.25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7.25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7.25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7.25" customHeight="1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7.25" customHeight="1">
      <c r="A65" s="8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7.25" customHeight="1">
      <c r="A66" s="8"/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7.25" customHeight="1">
      <c r="A67" s="8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7.25" customHeight="1">
      <c r="A68" s="8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7.25" customHeight="1">
      <c r="A69" s="8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7.25" customHeight="1">
      <c r="A70" s="8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7.25" customHeight="1">
      <c r="A71" s="8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7.25" customHeight="1">
      <c r="A72" s="8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7.25" customHeight="1">
      <c r="A73" s="8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7.25" customHeight="1">
      <c r="A74" s="8"/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7.25" customHeight="1">
      <c r="A75" s="8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7.25" customHeight="1">
      <c r="A76" s="8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7.25" customHeight="1">
      <c r="A77" s="8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7.25" customHeight="1">
      <c r="A78" s="8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7.25" customHeight="1">
      <c r="A79" s="8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7.25" customHeight="1">
      <c r="A80" s="8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7.25" customHeight="1">
      <c r="A81" s="8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7.25" customHeight="1">
      <c r="A82" s="8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7.25" customHeight="1">
      <c r="A83" s="8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7.25" customHeight="1">
      <c r="A84" s="8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7.25" customHeight="1">
      <c r="A85" s="8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7.25" customHeight="1">
      <c r="A86" s="8"/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.25" customHeight="1">
      <c r="A87" s="8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7.25" customHeight="1">
      <c r="A88" s="8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7.25" customHeight="1">
      <c r="A89" s="8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7.25" customHeight="1">
      <c r="A90" s="8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7.25" customHeight="1">
      <c r="A91" s="8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7.25" customHeight="1">
      <c r="A92" s="8"/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7.25" customHeight="1">
      <c r="A93" s="8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7.25" customHeight="1">
      <c r="A94" s="8"/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7.25" customHeight="1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7.25" customHeight="1">
      <c r="A96" s="8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7.25" customHeight="1">
      <c r="A97" s="8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7.25" customHeight="1">
      <c r="A98" s="8"/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7.25" customHeight="1">
      <c r="A99" s="8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7.25" customHeight="1">
      <c r="A100" s="8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7.25" customHeight="1">
      <c r="A101" s="8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7.2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7.25" customHeight="1">
      <c r="A103" s="8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7.25" customHeight="1">
      <c r="A104" s="8"/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7.25" customHeight="1">
      <c r="A105" s="8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7.2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7.25" customHeight="1">
      <c r="A107" s="8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7.25" customHeight="1">
      <c r="A108" s="8"/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7.25" customHeight="1">
      <c r="A109" s="8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7.25" customHeight="1">
      <c r="A110" s="8"/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7.25" customHeight="1">
      <c r="A111" s="8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7.25" customHeight="1">
      <c r="A112" s="8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7.25" customHeight="1">
      <c r="A113" s="8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7.25" customHeight="1">
      <c r="A114" s="8"/>
      <c r="B114" s="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.25" customHeight="1">
      <c r="A115" s="8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7.25" customHeight="1">
      <c r="A116" s="8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7.25" customHeight="1">
      <c r="A117" s="8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7.25" customHeight="1">
      <c r="A118" s="8"/>
      <c r="B118" s="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7.25" customHeight="1">
      <c r="A119" s="8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7.25" customHeight="1">
      <c r="A120" s="8"/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7.25" customHeight="1">
      <c r="A121" s="8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7.25" customHeight="1">
      <c r="A122" s="8"/>
      <c r="B122" s="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7.25" customHeight="1">
      <c r="A123" s="8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7.25" customHeight="1">
      <c r="A124" s="8"/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7.25" customHeight="1">
      <c r="A125" s="8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7.25" customHeight="1">
      <c r="A126" s="8"/>
      <c r="B126" s="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7.25" customHeight="1">
      <c r="A127" s="8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7.25" customHeight="1">
      <c r="A128" s="8"/>
      <c r="B128" s="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7.25" customHeight="1">
      <c r="A129" s="8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7.25" customHeight="1">
      <c r="A130" s="8"/>
      <c r="B130" s="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7.25" customHeight="1">
      <c r="A131" s="8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7.25" customHeight="1">
      <c r="A132" s="8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7.25" customHeight="1">
      <c r="A133" s="8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7.25" customHeight="1">
      <c r="A134" s="8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7.25" customHeight="1">
      <c r="A135" s="8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7.25" customHeight="1">
      <c r="A136" s="8"/>
      <c r="B136" s="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7.25" customHeight="1">
      <c r="A137" s="8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7.25" customHeight="1">
      <c r="A138" s="8"/>
      <c r="B138" s="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7.25" customHeight="1">
      <c r="A139" s="8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7.25" customHeight="1">
      <c r="A140" s="8"/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7.25" customHeight="1">
      <c r="A141" s="8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7.25" customHeight="1">
      <c r="A142" s="8"/>
      <c r="B142" s="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.25" customHeight="1">
      <c r="A143" s="8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7.25" customHeight="1">
      <c r="A144" s="8"/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7.25" customHeight="1">
      <c r="A145" s="8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7.25" customHeight="1">
      <c r="A146" s="8"/>
      <c r="B146" s="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7.25" customHeight="1">
      <c r="A147" s="8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7.25" customHeight="1">
      <c r="A148" s="8"/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7.25" customHeight="1">
      <c r="A149" s="8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7.25" customHeight="1">
      <c r="A150" s="8"/>
      <c r="B150" s="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7.25" customHeight="1">
      <c r="A151" s="8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7.25" customHeight="1">
      <c r="A152" s="8"/>
      <c r="B152" s="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7.25" customHeight="1">
      <c r="A153" s="8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7.25" customHeight="1">
      <c r="A154" s="8"/>
      <c r="B154" s="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7.25" customHeight="1">
      <c r="A155" s="8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7.25" customHeight="1">
      <c r="A156" s="8"/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7.25" customHeight="1">
      <c r="A157" s="8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7.25" customHeight="1">
      <c r="A158" s="8"/>
      <c r="B158" s="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7.25" customHeight="1">
      <c r="A159" s="8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7.25" customHeight="1">
      <c r="A160" s="8"/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7.25" customHeight="1">
      <c r="A161" s="8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7.25" customHeight="1">
      <c r="A162" s="8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7.25" customHeight="1">
      <c r="A163" s="8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7.25" customHeight="1">
      <c r="A164" s="8"/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7.25" customHeight="1">
      <c r="A165" s="8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7.25" customHeight="1">
      <c r="A166" s="8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7.25" customHeight="1">
      <c r="A167" s="8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7.25" customHeight="1">
      <c r="A168" s="8"/>
      <c r="B168" s="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7.25" customHeight="1">
      <c r="A169" s="8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7.25" customHeight="1">
      <c r="A170" s="8"/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7.25" customHeight="1">
      <c r="A171" s="8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7.25" customHeight="1">
      <c r="A172" s="8"/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7.25" customHeight="1">
      <c r="A173" s="8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7.25" customHeight="1">
      <c r="A174" s="8"/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7.25" customHeight="1">
      <c r="A175" s="8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7.25" customHeight="1">
      <c r="A176" s="8"/>
      <c r="B176" s="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7.25" customHeight="1">
      <c r="A177" s="8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7.25" customHeight="1">
      <c r="A178" s="8"/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7.25" customHeight="1">
      <c r="A179" s="8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7.25" customHeight="1">
      <c r="A180" s="8"/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7.25" customHeight="1">
      <c r="A181" s="8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7.25" customHeight="1">
      <c r="A182" s="8"/>
      <c r="B182" s="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7.25" customHeight="1">
      <c r="A183" s="8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7.25" customHeight="1">
      <c r="A184" s="8"/>
      <c r="B184" s="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7.25" customHeight="1">
      <c r="A185" s="8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7.25" customHeight="1">
      <c r="A186" s="8"/>
      <c r="B186" s="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7.25" customHeight="1">
      <c r="A187" s="8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7.25" customHeight="1">
      <c r="A188" s="8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7.25" customHeight="1">
      <c r="A189" s="8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7.25" customHeight="1">
      <c r="A190" s="8"/>
      <c r="B190" s="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7.25" customHeight="1">
      <c r="A191" s="8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7.25" customHeight="1">
      <c r="A192" s="8"/>
      <c r="B192" s="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7.25" customHeight="1">
      <c r="A193" s="8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7.25" customHeight="1">
      <c r="A194" s="8"/>
      <c r="B194" s="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7.25" customHeight="1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7.25" customHeight="1">
      <c r="A196" s="8"/>
      <c r="B196" s="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7.25" customHeight="1">
      <c r="A197" s="8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7.25" customHeight="1">
      <c r="A198" s="8"/>
      <c r="B198" s="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7.25" customHeight="1">
      <c r="A199" s="8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7.25" customHeight="1">
      <c r="A200" s="8"/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7.25" customHeight="1">
      <c r="A201" s="8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7.25" customHeight="1">
      <c r="A202" s="8"/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7.25" customHeight="1">
      <c r="A203" s="8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7.25" customHeight="1">
      <c r="A204" s="8"/>
      <c r="B204" s="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7.25" customHeight="1">
      <c r="A205" s="8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7.25" customHeight="1">
      <c r="A206" s="8"/>
      <c r="B206" s="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7.25" customHeight="1">
      <c r="A207" s="8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7.25" customHeight="1">
      <c r="A208" s="8"/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7.25" customHeight="1">
      <c r="A209" s="8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7.25" customHeight="1">
      <c r="A210" s="8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7.25" customHeight="1">
      <c r="A211" s="8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7.25" customHeight="1">
      <c r="A212" s="8"/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7.25" customHeight="1">
      <c r="A213" s="8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7.25" customHeight="1">
      <c r="A214" s="8"/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7.25" customHeight="1">
      <c r="A215" s="8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7.25" customHeight="1">
      <c r="A216" s="8"/>
      <c r="B216" s="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7.25" customHeight="1">
      <c r="A217" s="8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7.25" customHeight="1">
      <c r="A218" s="8"/>
      <c r="B218" s="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7.25" customHeight="1">
      <c r="A219" s="8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7.25" customHeight="1">
      <c r="A220" s="8"/>
      <c r="B220" s="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7.2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7.25" customHeight="1">
      <c r="A222" s="8"/>
      <c r="B222" s="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7.25" customHeight="1">
      <c r="A223" s="8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7.25" customHeight="1">
      <c r="A224" s="8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7.25" customHeight="1">
      <c r="A225" s="8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7.25" customHeight="1">
      <c r="A226" s="8"/>
      <c r="B226" s="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7.25" customHeight="1">
      <c r="A227" s="8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7.25" customHeight="1">
      <c r="A228" s="8"/>
      <c r="B228" s="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7.25" customHeight="1">
      <c r="A229" s="8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7.25" customHeight="1">
      <c r="A230" s="8"/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7.25" customHeight="1">
      <c r="A231" s="8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7.25" customHeight="1">
      <c r="A232" s="8"/>
      <c r="B232" s="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7.25" customHeight="1">
      <c r="A233" s="8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7.25" customHeight="1">
      <c r="A234" s="8"/>
      <c r="B234" s="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7.2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7.25" customHeight="1">
      <c r="A236" s="8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7.25" customHeight="1">
      <c r="A237" s="8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7.25" customHeight="1">
      <c r="A238" s="8"/>
      <c r="B238" s="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7.25" customHeight="1">
      <c r="A239" s="8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7.25" customHeight="1">
      <c r="A240" s="8"/>
      <c r="B240" s="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7.25" customHeight="1">
      <c r="A241" s="8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7.25" customHeight="1">
      <c r="A242" s="8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7.25" customHeight="1">
      <c r="A243" s="8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7.25" customHeight="1">
      <c r="A244" s="8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7.25" customHeight="1">
      <c r="A245" s="8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7.25" customHeight="1">
      <c r="A246" s="8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7.25" customHeight="1">
      <c r="A247" s="8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7.25" customHeight="1">
      <c r="A248" s="8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7.25" customHeight="1">
      <c r="A249" s="8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7.25" customHeight="1">
      <c r="A250" s="8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7.25" customHeight="1">
      <c r="A251" s="8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7.25" customHeight="1">
      <c r="A252" s="8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7.25" customHeight="1">
      <c r="A253" s="8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7.25" customHeight="1">
      <c r="A254" s="8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7.25" customHeight="1">
      <c r="A255" s="8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7.25" customHeight="1">
      <c r="A256" s="8"/>
      <c r="B256" s="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7.25" customHeight="1">
      <c r="A257" s="8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7.25" customHeight="1">
      <c r="A258" s="8"/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7.25" customHeight="1">
      <c r="A259" s="8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7.25" customHeight="1">
      <c r="A260" s="8"/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7.25" customHeight="1">
      <c r="A261" s="8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7.25" customHeight="1">
      <c r="A262" s="8"/>
      <c r="B262" s="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7.25" customHeight="1">
      <c r="A263" s="8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7.25" customHeight="1">
      <c r="A264" s="8"/>
      <c r="B264" s="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7.25" customHeight="1">
      <c r="A265" s="8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7.25" customHeight="1">
      <c r="A266" s="8"/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7.25" customHeight="1">
      <c r="A267" s="8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7.25" customHeight="1">
      <c r="A268" s="8"/>
      <c r="B268" s="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7.25" customHeight="1">
      <c r="A269" s="8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7.25" customHeight="1">
      <c r="A270" s="8"/>
      <c r="B270" s="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7.25" customHeight="1">
      <c r="A271" s="8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7.25" customHeight="1">
      <c r="A272" s="8"/>
      <c r="B272" s="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7.25" customHeight="1">
      <c r="A273" s="8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7.25" customHeight="1">
      <c r="A274" s="8"/>
      <c r="B274" s="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7.25" customHeight="1">
      <c r="A275" s="8"/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7.25" customHeight="1">
      <c r="A276" s="8"/>
      <c r="B276" s="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7.25" customHeight="1">
      <c r="A277" s="8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7.25" customHeight="1">
      <c r="A278" s="8"/>
      <c r="B278" s="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7.25" customHeight="1">
      <c r="A279" s="8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7.25" customHeight="1">
      <c r="A280" s="8"/>
      <c r="B280" s="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7.25" customHeight="1">
      <c r="A281" s="8"/>
      <c r="B281" s="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7.25" customHeight="1">
      <c r="A282" s="8"/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7.25" customHeight="1">
      <c r="A283" s="8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7.25" customHeight="1">
      <c r="A284" s="8"/>
      <c r="B284" s="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7.25" customHeight="1">
      <c r="A285" s="8"/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7.25" customHeight="1">
      <c r="A286" s="8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7.25" customHeight="1">
      <c r="A287" s="8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7.25" customHeight="1">
      <c r="A288" s="8"/>
      <c r="B288" s="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7.25" customHeight="1">
      <c r="A289" s="8"/>
      <c r="B289" s="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7.25" customHeight="1">
      <c r="A290" s="8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7.25" customHeight="1">
      <c r="A291" s="8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7.25" customHeight="1">
      <c r="A292" s="8"/>
      <c r="B292" s="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7.25" customHeight="1">
      <c r="A293" s="8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7.25" customHeight="1">
      <c r="A294" s="8"/>
      <c r="B294" s="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7.25" customHeight="1">
      <c r="A295" s="8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7.25" customHeight="1">
      <c r="A296" s="8"/>
      <c r="B296" s="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7.25" customHeight="1">
      <c r="A297" s="8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7.25" customHeight="1">
      <c r="A298" s="8"/>
      <c r="B298" s="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7.25" customHeight="1">
      <c r="A299" s="8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7.25" customHeight="1">
      <c r="A300" s="8"/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7.25" customHeight="1">
      <c r="A301" s="8"/>
      <c r="B301" s="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7.25" customHeight="1">
      <c r="A302" s="8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7.25" customHeight="1">
      <c r="A303" s="8"/>
      <c r="B303" s="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7.25" customHeight="1">
      <c r="A304" s="8"/>
      <c r="B304" s="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7.25" customHeight="1">
      <c r="A305" s="8"/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7.25" customHeight="1">
      <c r="A306" s="8"/>
      <c r="B306" s="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7.25" customHeight="1">
      <c r="A307" s="8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7.25" customHeight="1">
      <c r="A308" s="8"/>
      <c r="B308" s="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7.25" customHeight="1">
      <c r="A309" s="8"/>
      <c r="B309" s="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7.25" customHeight="1">
      <c r="A310" s="8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7.25" customHeight="1">
      <c r="A311" s="8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7.25" customHeight="1">
      <c r="A312" s="8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7.25" customHeight="1">
      <c r="A313" s="8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7.25" customHeight="1">
      <c r="A314" s="8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7.25" customHeight="1">
      <c r="A315" s="8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7.25" customHeight="1">
      <c r="A316" s="8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7.25" customHeight="1">
      <c r="A317" s="8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7.25" customHeight="1">
      <c r="A318" s="8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7.25" customHeight="1">
      <c r="A319" s="8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7.25" customHeight="1">
      <c r="A320" s="8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7.25" customHeight="1">
      <c r="A321" s="8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7.25" customHeight="1">
      <c r="A322" s="8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7.25" customHeight="1">
      <c r="A323" s="8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7.25" customHeight="1">
      <c r="A324" s="8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7.25" customHeight="1">
      <c r="A325" s="8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7.25" customHeight="1">
      <c r="A326" s="8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7.25" customHeight="1">
      <c r="A327" s="8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7.25" customHeight="1">
      <c r="A328" s="8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7.25" customHeight="1">
      <c r="A329" s="8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7.25" customHeight="1">
      <c r="A330" s="8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7.25" customHeight="1">
      <c r="A331" s="8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7.25" customHeight="1">
      <c r="A332" s="8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7.25" customHeight="1">
      <c r="A333" s="8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7.25" customHeight="1">
      <c r="A334" s="8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7.25" customHeight="1">
      <c r="A335" s="8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7.25" customHeight="1">
      <c r="A336" s="8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7.25" customHeight="1">
      <c r="A337" s="8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7.25" customHeight="1">
      <c r="A338" s="8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7.25" customHeight="1">
      <c r="A339" s="8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7.25" customHeight="1">
      <c r="A340" s="8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7.25" customHeight="1">
      <c r="A341" s="8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7.25" customHeight="1">
      <c r="A342" s="8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7.25" customHeight="1">
      <c r="A343" s="8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7.25" customHeight="1">
      <c r="A344" s="8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7.25" customHeight="1">
      <c r="A345" s="8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7.25" customHeight="1">
      <c r="A346" s="8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7.25" customHeight="1">
      <c r="A347" s="8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7.25" customHeight="1">
      <c r="A348" s="8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7.25" customHeight="1">
      <c r="A349" s="8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7.25" customHeight="1">
      <c r="A350" s="8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7.25" customHeight="1">
      <c r="A351" s="8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7.25" customHeight="1">
      <c r="A352" s="8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7.2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7.2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7.2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7.2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7.2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7.2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7.2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7.2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7.2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7.2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7.2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7.2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7.2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7.2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7.2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7.2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7.2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7.2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7.2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7.2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7.2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7.2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7.2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7.2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7.2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7.2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7.2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7.2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7.2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7.2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7.2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7.2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7.2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7.2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7.2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7.2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7.2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7.2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7.2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7.2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7.2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7.2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7.2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7.2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7.2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7.2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7.2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7.2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7.2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7.2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7.2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7.2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7.2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7.2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7.2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7.2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7.2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7.2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7.2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7.2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7.2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7.2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7.2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7.2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7.2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7.2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7.2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7.2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7.2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7.2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7.2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7.2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7.2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7.2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7.2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7.2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7.2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7.2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7.2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7.2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7.2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7.2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7.2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7.2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7.2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7.2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7.2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7.2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7.2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7.2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7.2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7.2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7.2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7.2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7.2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7.2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7.2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7.2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7.2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7.2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7.2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7.2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7.2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7.2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7.2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7.2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7.2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7.2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7.2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7.2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7.2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7.2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7.2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7.2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7.2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7.2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7.2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7.2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7.2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7.2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7.2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7.2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7.2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7.2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7.2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7.2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7.2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7.2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7.2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7.2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7.2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7.2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7.2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7.2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7.2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7.2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7.2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7.2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7.2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7.2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7.2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7.2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7.2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7.2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7.2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7.2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7.2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7.2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7.2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7.2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7.2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7.2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7.2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7.2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7.2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7.2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7.2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7.2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7.2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7.2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7.2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7.2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7.2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7.2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7.2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7.2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7.2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7.2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7.2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7.2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7.2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7.2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7.2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7.2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7.2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7.2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7.2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7.2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7.2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7.2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7.2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7.2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7.2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7.2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7.2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7.2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7.2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7.2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7.2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7.2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7.2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7.2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7.2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7.2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7.2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7.2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7.2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7.2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7.2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7.2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7.2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7.2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7.2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7.2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7.2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7.2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7.2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7.2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7.2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7.2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7.2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7.2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7.2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7.2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7.2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7.2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7.2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7.2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7.2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7.2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7.2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7.2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7.2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7.2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7.2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7.2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7.2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7.2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7.2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7.2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7.2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7.2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7.2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7.2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7.2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7.2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7.2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7.2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7.2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7.2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7.2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7.2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7.2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7.2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7.2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7.2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7.2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7.2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7.2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7.2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7.2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7.2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7.2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7.2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7.2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7.2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7.2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7.2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7.2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7.2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7.2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7.2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7.2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7.2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7.2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7.2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7.2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7.2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7.2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7.2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7.2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7.2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7.2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7.2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7.2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7.2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7.2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7.2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7.2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7.2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7.2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7.2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7.2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7.2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7.2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7.2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7.2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7.2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7.2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7.2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7.2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7.2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7.2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7.2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7.2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7.2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7.2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7.2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7.2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7.2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7.2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7.2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7.2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7.2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7.2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7.2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7.2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7.2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7.2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7.2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7.2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7.2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7.2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7.2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7.2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7.2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7.2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7.2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7.2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7.2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7.2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7.2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7.2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7.2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7.2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7.2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7.2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7.2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7.2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7.2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7.2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7.2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7.2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7.2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7.2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7.2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7.2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7.2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7.2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7.2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7.2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7.2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7.2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7.2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7.2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7.2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7.2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7.2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7.2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7.2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7.2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7.2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7.2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7.2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7.2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7.2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7.2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7.2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7.2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7.2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7.2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7.2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7.2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7.2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7.2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7.2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7.2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7.2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7.2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7.2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7.2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7.2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7.2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7.2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7.2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7.2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7.2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7.2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7.2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7.2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7.2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7.2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7.2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7.2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7.2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7.2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7.2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7.2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7.2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7.2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7.2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7.2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7.2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7.2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7.2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7.2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7.2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7.2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7.2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7.2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7.2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7.2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7.2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7.2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7.2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7.2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7.2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7.2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7.2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7.2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7.2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7.2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7.2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7.2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7.2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7.2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7.2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7.2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7.2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7.2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7.2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7.2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7.2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7.2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7.2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7.2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7.2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7.2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7.2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7.2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7.2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7.2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7.2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7.2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7.2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7.2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7.2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7.2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7.2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7.2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7.2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7.2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7.2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7.2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7.2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7.2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7.2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7.2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7.2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7.2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7.2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7.2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7.2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7.2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7.2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7.2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7.2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7.2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7.2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7.2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7.2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7.2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7.2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7.2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7.2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7.2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7.2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7.2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7.2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7.2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7.2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7.2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7.2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7.2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7.2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7.2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7.2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7.2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7.2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7.2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7.2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7.2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7.2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7.2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7.2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7.2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7.2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7.2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7.2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7.2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7.2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7.2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7.2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7.2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7.2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7.2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7.2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7.2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7.2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7.2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7.2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7.2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7.2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7.2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7.2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7.2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7.2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7.2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7.2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7.2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7.2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7.2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7.2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7.2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7.2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7.2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7.2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7.2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7.2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7.2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7.2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7.2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7.2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7.2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7.2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7.2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7.2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7.2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7.2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7.2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7.2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7.2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7.2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7.2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7.2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7.2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7.2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7.2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7.2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7.2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7.2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7.2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7.2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7.2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7.2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7.2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7.2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7.2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7.2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7.2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7.2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7.2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7.2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7.2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7.2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7.2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7.2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7.2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7.2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7.2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7.2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7.2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7.2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7.2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7.2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7.2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7.2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7.2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7.2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7.2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7.2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7.2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7.2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7.2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7.2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7.2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7.2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7.2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7.2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7.2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7.2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7.2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7.2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7.2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7.2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7.2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7.2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7.2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7.2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7.2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7.2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7.2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7.2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7.2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7.2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7.2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7.2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7.2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7.2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7.2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7.2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7.2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7.2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7.2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7.2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7.2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7.2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7.2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7.2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7.2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7.2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7.2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7.2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7.2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7.2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7.2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7.2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7.2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7.2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7.2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7.2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7.2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7.2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7.2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7.2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7.2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7.2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7.2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7.2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7.2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7.2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7.2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7.2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7.2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7.2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7.25" customHeight="1">
      <c r="A988" s="8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7.25" customHeight="1">
      <c r="A989" s="8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7.25" customHeight="1">
      <c r="A990" s="8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7.25" customHeight="1">
      <c r="A991" s="8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7.25" customHeight="1">
      <c r="A992" s="8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7.25" customHeight="1">
      <c r="A993" s="8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7.25" customHeight="1">
      <c r="A994" s="8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7.25" customHeight="1">
      <c r="A995" s="8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7.25" customHeight="1">
      <c r="A996" s="8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7.25" customHeight="1">
      <c r="A997" s="8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7.25" customHeight="1">
      <c r="A998" s="8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7.25" customHeight="1">
      <c r="A999" s="8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7.25" customHeight="1">
      <c r="A1000" s="8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ht="17.25" customHeight="1">
      <c r="A1001" s="8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ht="17.25" customHeight="1">
      <c r="A1002" s="8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</sheetData>
  <mergeCells count="8">
    <mergeCell ref="A1:D1"/>
    <mergeCell ref="A3:H3"/>
    <mergeCell ref="A5:C5"/>
    <mergeCell ref="A23:B23"/>
    <mergeCell ref="A24:B24"/>
    <mergeCell ref="A25:D25"/>
    <mergeCell ref="A26:F26"/>
    <mergeCell ref="A27:E27"/>
  </mergeCells>
  <dataValidations>
    <dataValidation type="list" allowBlank="1" showErrorMessage="1" sqref="B20">
      <formula1>M5:M8</formula1>
    </dataValidation>
    <dataValidation type="list" allowBlank="1" showErrorMessage="1" sqref="B11">
      <formula1>K5:K6</formula1>
    </dataValidation>
    <dataValidation type="list" allowBlank="1" showErrorMessage="1" sqref="B19">
      <formula1>L5:L8</formula1>
    </dataValidation>
    <dataValidation type="list" allowBlank="1" showErrorMessage="1" sqref="B21">
      <formula1>N5:N8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11" width="47.0"/>
    <col customWidth="1" min="12" max="26" width="9.13"/>
  </cols>
  <sheetData>
    <row r="1" ht="24.75" customHeight="1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</f>
        <v>45978</v>
      </c>
      <c r="B3" s="34" t="s">
        <v>39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39"/>
      <c r="E4" s="38" t="s">
        <v>41</v>
      </c>
      <c r="F4" s="39"/>
      <c r="G4" s="38" t="s">
        <v>42</v>
      </c>
      <c r="H4" s="39"/>
      <c r="I4" s="38" t="s">
        <v>43</v>
      </c>
      <c r="J4" s="39"/>
    </row>
    <row r="5" ht="17.25" customHeight="1">
      <c r="A5" s="40" t="s">
        <v>27</v>
      </c>
      <c r="B5" s="40" t="s">
        <v>44</v>
      </c>
      <c r="C5" s="41">
        <f>IF((Inputs!B11="kg"),MROUND((Inputs!B15*0.8),2.5),MROUND((Inputs!B15*0.8),5))</f>
        <v>82.5</v>
      </c>
      <c r="D5" s="42" t="s">
        <v>45</v>
      </c>
      <c r="E5" s="41">
        <f t="shared" ref="E5:E6" si="1">C5</f>
        <v>82.5</v>
      </c>
      <c r="F5" s="42" t="s">
        <v>45</v>
      </c>
      <c r="G5" s="41">
        <f>E5</f>
        <v>82.5</v>
      </c>
      <c r="H5" s="43" t="s">
        <v>46</v>
      </c>
      <c r="I5" s="41">
        <f>G5</f>
        <v>82.5</v>
      </c>
      <c r="J5" s="43" t="s">
        <v>47</v>
      </c>
    </row>
    <row r="6" ht="17.25" customHeight="1">
      <c r="A6" s="44" t="s">
        <v>28</v>
      </c>
      <c r="B6" s="44" t="s">
        <v>44</v>
      </c>
      <c r="C6" s="45">
        <f>IF((Inputs!B11="kg"),MROUND((Inputs!B16*0.8),2.5),MROUND((Inputs!B16*0.8),5))</f>
        <v>120</v>
      </c>
      <c r="D6" s="46" t="s">
        <v>45</v>
      </c>
      <c r="E6" s="45">
        <f t="shared" si="1"/>
        <v>120</v>
      </c>
      <c r="F6" s="46" t="s">
        <v>45</v>
      </c>
      <c r="G6" s="47"/>
      <c r="H6" s="48" t="s">
        <v>48</v>
      </c>
      <c r="I6" s="47"/>
      <c r="J6" s="49"/>
    </row>
    <row r="7" ht="17.25" customHeight="1">
      <c r="A7" s="44" t="s">
        <v>49</v>
      </c>
      <c r="B7" s="44" t="s">
        <v>44</v>
      </c>
      <c r="C7" s="45"/>
      <c r="D7" s="46"/>
      <c r="E7" s="45"/>
      <c r="F7" s="46"/>
      <c r="G7" s="45"/>
      <c r="H7" s="46"/>
      <c r="I7" s="47"/>
      <c r="J7" s="49"/>
    </row>
    <row r="8" ht="17.25" customHeight="1">
      <c r="A8" s="50" t="s">
        <v>50</v>
      </c>
      <c r="B8" s="50" t="s">
        <v>44</v>
      </c>
      <c r="C8" s="51"/>
      <c r="D8" s="52"/>
      <c r="E8" s="51"/>
      <c r="F8" s="52"/>
      <c r="G8" s="51"/>
      <c r="H8" s="52"/>
      <c r="I8" s="47"/>
      <c r="J8" s="49"/>
    </row>
    <row r="9" ht="17.25" customHeight="1">
      <c r="A9" s="13"/>
      <c r="B9" s="13"/>
      <c r="C9" s="13"/>
      <c r="D9" s="13"/>
      <c r="E9" s="13"/>
      <c r="F9" s="13"/>
      <c r="G9" s="13"/>
      <c r="H9" s="13"/>
      <c r="I9" s="53"/>
      <c r="J9" s="53"/>
    </row>
    <row r="10" ht="17.25" customHeight="1">
      <c r="A10" s="33">
        <f>Inputs!B8+1</f>
        <v>45979</v>
      </c>
      <c r="B10" s="34" t="s">
        <v>51</v>
      </c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40</v>
      </c>
      <c r="D11" s="39"/>
      <c r="E11" s="38" t="s">
        <v>41</v>
      </c>
      <c r="F11" s="39"/>
      <c r="G11" s="38" t="s">
        <v>42</v>
      </c>
      <c r="H11" s="39"/>
      <c r="I11" s="38" t="s">
        <v>43</v>
      </c>
      <c r="J11" s="39"/>
    </row>
    <row r="12" ht="17.25" customHeight="1">
      <c r="A12" s="40" t="s">
        <v>26</v>
      </c>
      <c r="B12" s="40" t="s">
        <v>44</v>
      </c>
      <c r="C12" s="41">
        <f>IF((Inputs!B11="kg"),MROUND((Inputs!B14*0.5),2.5),MROUND((Inputs!B14*0.5),5))</f>
        <v>42.5</v>
      </c>
      <c r="D12" s="42" t="s">
        <v>52</v>
      </c>
      <c r="E12" s="41">
        <f>IF((Inputs!B11="kg"),MROUND((Inputs!B14*0.675),2.5),MROUND((Inputs!B14*0.675),5))</f>
        <v>57.5</v>
      </c>
      <c r="F12" s="42" t="s">
        <v>52</v>
      </c>
      <c r="G12" s="41">
        <f>IF((Inputs!B11="kg"),MROUND((Inputs!B14*0.75),2.5),MROUND((Inputs!B14*0.75),5))</f>
        <v>62.5</v>
      </c>
      <c r="H12" s="42" t="s">
        <v>53</v>
      </c>
      <c r="I12" s="41">
        <f>IF((Inputs!B11="kg"),MROUND((Inputs!B14*0.775),2.5),MROUND((Inputs!B14*0.775),5))</f>
        <v>65</v>
      </c>
      <c r="J12" s="42" t="s">
        <v>45</v>
      </c>
    </row>
    <row r="13" ht="17.25" customHeight="1">
      <c r="A13" s="44" t="str">
        <f>Inputs!B19</f>
        <v>Barbell Row</v>
      </c>
      <c r="B13" s="44" t="s">
        <v>44</v>
      </c>
      <c r="C13" s="54">
        <v>30.0</v>
      </c>
      <c r="D13" s="46" t="s">
        <v>52</v>
      </c>
      <c r="E13" s="54">
        <v>40.0</v>
      </c>
      <c r="F13" s="46" t="s">
        <v>52</v>
      </c>
      <c r="G13" s="54">
        <v>45.0</v>
      </c>
      <c r="H13" s="46" t="s">
        <v>53</v>
      </c>
      <c r="I13" s="54">
        <v>50.0</v>
      </c>
      <c r="J13" s="46" t="s">
        <v>45</v>
      </c>
    </row>
    <row r="14" ht="17.25" customHeight="1">
      <c r="A14" s="44" t="str">
        <f>Inputs!B20</f>
        <v>Military Press</v>
      </c>
      <c r="B14" s="44" t="s">
        <v>44</v>
      </c>
      <c r="C14" s="54">
        <v>20.0</v>
      </c>
      <c r="D14" s="46" t="s">
        <v>54</v>
      </c>
      <c r="E14" s="54">
        <v>30.0</v>
      </c>
      <c r="F14" s="46" t="s">
        <v>54</v>
      </c>
      <c r="G14" s="54">
        <v>32.5</v>
      </c>
      <c r="H14" s="46" t="s">
        <v>52</v>
      </c>
      <c r="I14" s="54">
        <v>35.0</v>
      </c>
      <c r="J14" s="46" t="s">
        <v>53</v>
      </c>
    </row>
    <row r="15" ht="17.25" customHeight="1">
      <c r="A15" s="44" t="str">
        <f>Inputs!B21</f>
        <v>Weighted Pull-up</v>
      </c>
      <c r="B15" s="44" t="s">
        <v>44</v>
      </c>
      <c r="C15" s="54">
        <v>-65.0</v>
      </c>
      <c r="D15" s="46" t="s">
        <v>54</v>
      </c>
      <c r="E15" s="54">
        <v>-60.0</v>
      </c>
      <c r="F15" s="46" t="s">
        <v>54</v>
      </c>
      <c r="G15" s="54">
        <v>-55.0</v>
      </c>
      <c r="H15" s="46" t="s">
        <v>52</v>
      </c>
      <c r="I15" s="54">
        <v>-50.0</v>
      </c>
      <c r="J15" s="46" t="s">
        <v>53</v>
      </c>
    </row>
    <row r="16" ht="17.25" customHeight="1">
      <c r="A16" s="44" t="s">
        <v>49</v>
      </c>
      <c r="B16" s="44" t="s">
        <v>44</v>
      </c>
      <c r="C16" s="45"/>
      <c r="D16" s="46" t="s">
        <v>55</v>
      </c>
      <c r="E16" s="45"/>
      <c r="F16" s="46" t="s">
        <v>55</v>
      </c>
      <c r="G16" s="45"/>
      <c r="H16" s="46" t="s">
        <v>55</v>
      </c>
      <c r="I16" s="47"/>
      <c r="J16" s="49" t="s">
        <v>55</v>
      </c>
    </row>
    <row r="17" ht="17.25" customHeight="1">
      <c r="A17" s="50" t="s">
        <v>50</v>
      </c>
      <c r="B17" s="50" t="s">
        <v>44</v>
      </c>
      <c r="C17" s="51"/>
      <c r="D17" s="52" t="s">
        <v>55</v>
      </c>
      <c r="E17" s="51"/>
      <c r="F17" s="52" t="s">
        <v>55</v>
      </c>
      <c r="G17" s="51"/>
      <c r="H17" s="52" t="s">
        <v>55</v>
      </c>
      <c r="I17" s="55"/>
      <c r="J17" s="56" t="s">
        <v>55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3">
        <f>Inputs!B8+3</f>
        <v>45981</v>
      </c>
      <c r="B19" s="34" t="s">
        <v>51</v>
      </c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5"/>
      <c r="B20" s="37"/>
      <c r="C20" s="38" t="s">
        <v>40</v>
      </c>
      <c r="D20" s="39"/>
      <c r="E20" s="38" t="s">
        <v>41</v>
      </c>
      <c r="F20" s="39"/>
      <c r="G20" s="38" t="s">
        <v>42</v>
      </c>
      <c r="H20" s="39"/>
      <c r="I20" s="38" t="s">
        <v>43</v>
      </c>
      <c r="J20" s="39"/>
    </row>
    <row r="21" ht="17.25" customHeight="1">
      <c r="A21" s="40" t="s">
        <v>26</v>
      </c>
      <c r="B21" s="40" t="s">
        <v>44</v>
      </c>
      <c r="C21" s="41">
        <f>IF((Inputs!B11="kg"),MROUND((Inputs!B14*0.5),2.5),MROUND((Inputs!B14*0.5),5))</f>
        <v>42.5</v>
      </c>
      <c r="D21" s="42" t="s">
        <v>52</v>
      </c>
      <c r="E21" s="41">
        <f>IF((Inputs!B11="kg"),MROUND((Inputs!B14*0.675),2.5),MROUND((Inputs!B14*0.675),5))</f>
        <v>57.5</v>
      </c>
      <c r="F21" s="42" t="s">
        <v>52</v>
      </c>
      <c r="G21" s="41">
        <f>IF((Inputs!B11="kg"),MROUND((Inputs!B14*0.75),2.5),MROUND((Inputs!B14*0.75),5))</f>
        <v>62.5</v>
      </c>
      <c r="H21" s="42" t="s">
        <v>53</v>
      </c>
      <c r="I21" s="41">
        <f>IF((Inputs!B11="kg"),MROUND((Inputs!B14*0.775),2.5),MROUND((Inputs!B14*0.775),5))</f>
        <v>65</v>
      </c>
      <c r="J21" s="42" t="s">
        <v>45</v>
      </c>
    </row>
    <row r="22" ht="17.25" customHeight="1">
      <c r="A22" s="44" t="str">
        <f>Inputs!B19</f>
        <v>Barbell Row</v>
      </c>
      <c r="B22" s="44" t="s">
        <v>44</v>
      </c>
      <c r="C22" s="54">
        <v>40.0</v>
      </c>
      <c r="D22" s="46" t="s">
        <v>52</v>
      </c>
      <c r="E22" s="54">
        <v>45.0</v>
      </c>
      <c r="F22" s="46" t="s">
        <v>52</v>
      </c>
      <c r="G22" s="54">
        <v>50.0</v>
      </c>
      <c r="H22" s="46" t="s">
        <v>53</v>
      </c>
      <c r="I22" s="54">
        <v>55.0</v>
      </c>
      <c r="J22" s="46" t="s">
        <v>45</v>
      </c>
    </row>
    <row r="23" ht="17.25" customHeight="1">
      <c r="A23" s="44" t="str">
        <f>Inputs!B20</f>
        <v>Military Press</v>
      </c>
      <c r="B23" s="44" t="s">
        <v>44</v>
      </c>
      <c r="C23" s="54">
        <v>25.0</v>
      </c>
      <c r="D23" s="46" t="s">
        <v>54</v>
      </c>
      <c r="E23" s="54">
        <v>30.0</v>
      </c>
      <c r="F23" s="46" t="s">
        <v>54</v>
      </c>
      <c r="G23" s="54">
        <v>32.5</v>
      </c>
      <c r="H23" s="46" t="s">
        <v>52</v>
      </c>
      <c r="I23" s="54">
        <v>35.0</v>
      </c>
      <c r="J23" s="57" t="s">
        <v>56</v>
      </c>
    </row>
    <row r="24" ht="17.25" customHeight="1">
      <c r="A24" s="58" t="s">
        <v>57</v>
      </c>
      <c r="B24" s="44" t="s">
        <v>44</v>
      </c>
      <c r="C24" s="54" t="s">
        <v>58</v>
      </c>
      <c r="D24" s="57" t="s">
        <v>59</v>
      </c>
      <c r="E24" s="54" t="s">
        <v>58</v>
      </c>
      <c r="F24" s="57" t="s">
        <v>59</v>
      </c>
      <c r="G24" s="54" t="s">
        <v>58</v>
      </c>
      <c r="H24" s="57" t="s">
        <v>59</v>
      </c>
      <c r="I24" s="54" t="s">
        <v>58</v>
      </c>
      <c r="J24" s="57" t="s">
        <v>59</v>
      </c>
      <c r="K24" s="59" t="s">
        <v>60</v>
      </c>
    </row>
    <row r="25" ht="17.25" customHeight="1">
      <c r="A25" s="44" t="s">
        <v>49</v>
      </c>
      <c r="B25" s="44" t="s">
        <v>44</v>
      </c>
      <c r="C25" s="45"/>
      <c r="D25" s="46" t="s">
        <v>55</v>
      </c>
      <c r="E25" s="45"/>
      <c r="F25" s="46" t="s">
        <v>55</v>
      </c>
      <c r="G25" s="45"/>
      <c r="H25" s="46" t="s">
        <v>55</v>
      </c>
      <c r="I25" s="47"/>
      <c r="J25" s="49" t="s">
        <v>55</v>
      </c>
    </row>
    <row r="26" ht="17.25" customHeight="1">
      <c r="A26" s="50" t="s">
        <v>50</v>
      </c>
      <c r="B26" s="50" t="s">
        <v>44</v>
      </c>
      <c r="C26" s="51"/>
      <c r="D26" s="52" t="s">
        <v>55</v>
      </c>
      <c r="E26" s="51"/>
      <c r="F26" s="52" t="s">
        <v>55</v>
      </c>
      <c r="G26" s="51"/>
      <c r="H26" s="52" t="s">
        <v>55</v>
      </c>
      <c r="I26" s="55"/>
      <c r="J26" s="56" t="s">
        <v>55</v>
      </c>
    </row>
    <row r="27" ht="1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8.0" customHeight="1">
      <c r="A28" s="33">
        <f>Inputs!B8+4</f>
        <v>45982</v>
      </c>
      <c r="B28" s="34" t="s">
        <v>61</v>
      </c>
      <c r="C28" s="35"/>
      <c r="D28" s="35"/>
      <c r="E28" s="35"/>
      <c r="F28" s="35"/>
      <c r="G28" s="35"/>
      <c r="H28" s="35"/>
      <c r="I28" s="35"/>
      <c r="J28" s="35"/>
    </row>
    <row r="29" ht="16.5" customHeight="1">
      <c r="A29" s="36"/>
      <c r="B29" s="37"/>
      <c r="C29" s="38" t="s">
        <v>40</v>
      </c>
      <c r="D29" s="39"/>
      <c r="E29" s="38" t="s">
        <v>41</v>
      </c>
      <c r="F29" s="39"/>
      <c r="G29" s="38" t="s">
        <v>42</v>
      </c>
      <c r="H29" s="39"/>
      <c r="I29" s="38" t="s">
        <v>43</v>
      </c>
      <c r="J29" s="39"/>
    </row>
    <row r="30" ht="18.0" customHeight="1">
      <c r="A30" s="40" t="s">
        <v>27</v>
      </c>
      <c r="B30" s="40" t="s">
        <v>44</v>
      </c>
      <c r="C30" s="41">
        <f>IF((Inputs!B36="kg"),MROUND((Inputs!B15*0.7),2.5),MROUND((Inputs!B15*0.7),5))</f>
        <v>75</v>
      </c>
      <c r="D30" s="42" t="s">
        <v>53</v>
      </c>
      <c r="E30" s="41">
        <f t="shared" ref="E30:E31" si="2">C30</f>
        <v>75</v>
      </c>
      <c r="F30" s="43" t="s">
        <v>62</v>
      </c>
      <c r="G30" s="41">
        <f>E30</f>
        <v>75</v>
      </c>
      <c r="H30" s="42" t="s">
        <v>53</v>
      </c>
      <c r="I30" s="41">
        <f>G30</f>
        <v>75</v>
      </c>
      <c r="J30" s="43" t="s">
        <v>63</v>
      </c>
    </row>
    <row r="31" ht="18.0" customHeight="1">
      <c r="A31" s="44" t="s">
        <v>28</v>
      </c>
      <c r="B31" s="44" t="s">
        <v>44</v>
      </c>
      <c r="C31" s="45">
        <f>IF((Inputs!B36="kg"),MROUND((Inputs!B16*0.7),2.5),MROUND((Inputs!B16*0.7),5))</f>
        <v>105</v>
      </c>
      <c r="D31" s="57" t="s">
        <v>64</v>
      </c>
      <c r="E31" s="45">
        <f t="shared" si="2"/>
        <v>105</v>
      </c>
      <c r="F31" s="57" t="s">
        <v>64</v>
      </c>
      <c r="G31" s="47"/>
      <c r="H31" s="49"/>
      <c r="I31" s="47"/>
      <c r="J31" s="49"/>
    </row>
    <row r="32" ht="18.0" customHeight="1">
      <c r="A32" s="44" t="s">
        <v>49</v>
      </c>
      <c r="B32" s="44" t="s">
        <v>44</v>
      </c>
      <c r="C32" s="45"/>
      <c r="D32" s="46"/>
      <c r="E32" s="45"/>
      <c r="F32" s="46"/>
      <c r="G32" s="45"/>
      <c r="H32" s="46"/>
      <c r="I32" s="47"/>
      <c r="J32" s="49"/>
    </row>
    <row r="33" ht="18.0" customHeight="1">
      <c r="A33" s="50" t="s">
        <v>50</v>
      </c>
      <c r="B33" s="50" t="s">
        <v>44</v>
      </c>
      <c r="C33" s="51"/>
      <c r="D33" s="52"/>
      <c r="E33" s="51"/>
      <c r="F33" s="52"/>
      <c r="G33" s="51"/>
      <c r="H33" s="52"/>
      <c r="I33" s="47"/>
      <c r="J33" s="49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53"/>
      <c r="J34" s="53"/>
    </row>
    <row r="35" ht="17.25" customHeight="1">
      <c r="A35" s="33">
        <f>Inputs!B8+5</f>
        <v>45983</v>
      </c>
      <c r="B35" s="34" t="s">
        <v>51</v>
      </c>
      <c r="C35" s="35"/>
      <c r="D35" s="35"/>
      <c r="E35" s="35"/>
      <c r="F35" s="35"/>
      <c r="G35" s="35"/>
      <c r="H35" s="35"/>
      <c r="I35" s="35"/>
      <c r="J35" s="35"/>
    </row>
    <row r="36" ht="17.25" customHeight="1">
      <c r="A36" s="35"/>
      <c r="B36" s="37"/>
      <c r="C36" s="38" t="s">
        <v>40</v>
      </c>
      <c r="D36" s="39"/>
      <c r="E36" s="38" t="s">
        <v>41</v>
      </c>
      <c r="F36" s="39"/>
      <c r="G36" s="38" t="s">
        <v>42</v>
      </c>
      <c r="H36" s="39"/>
      <c r="I36" s="38" t="s">
        <v>43</v>
      </c>
      <c r="J36" s="39"/>
    </row>
    <row r="37" ht="17.25" customHeight="1">
      <c r="A37" s="40" t="s">
        <v>26</v>
      </c>
      <c r="B37" s="40" t="s">
        <v>44</v>
      </c>
      <c r="C37" s="41">
        <f>IF((Inputs!B11="kg"),MROUND((Inputs!B14*0.8),2.5),MROUND((Inputs!B14*0.8),5))</f>
        <v>67.5</v>
      </c>
      <c r="D37" s="43" t="s">
        <v>65</v>
      </c>
      <c r="E37" s="60"/>
      <c r="F37" s="61"/>
      <c r="G37" s="60"/>
      <c r="H37" s="61"/>
      <c r="I37" s="60"/>
      <c r="J37" s="61"/>
    </row>
    <row r="38" ht="17.25" customHeight="1">
      <c r="A38" s="44" t="str">
        <f>Inputs!B19</f>
        <v>Barbell Row</v>
      </c>
      <c r="B38" s="44" t="s">
        <v>44</v>
      </c>
      <c r="C38" s="54">
        <v>40.0</v>
      </c>
      <c r="D38" s="46" t="s">
        <v>52</v>
      </c>
      <c r="E38" s="54">
        <v>45.0</v>
      </c>
      <c r="F38" s="46" t="s">
        <v>52</v>
      </c>
      <c r="G38" s="54">
        <v>50.0</v>
      </c>
      <c r="H38" s="46" t="s">
        <v>53</v>
      </c>
      <c r="I38" s="54">
        <v>55.0</v>
      </c>
      <c r="J38" s="46" t="s">
        <v>45</v>
      </c>
    </row>
    <row r="39" ht="17.25" customHeight="1">
      <c r="A39" s="44" t="str">
        <f>Inputs!B20</f>
        <v>Military Press</v>
      </c>
      <c r="B39" s="44" t="s">
        <v>44</v>
      </c>
      <c r="C39" s="54">
        <v>25.0</v>
      </c>
      <c r="D39" s="46" t="s">
        <v>54</v>
      </c>
      <c r="E39" s="54">
        <v>30.0</v>
      </c>
      <c r="F39" s="46" t="s">
        <v>54</v>
      </c>
      <c r="G39" s="54">
        <v>32.5</v>
      </c>
      <c r="H39" s="46" t="s">
        <v>52</v>
      </c>
      <c r="I39" s="54">
        <v>35.0</v>
      </c>
      <c r="J39" s="46" t="s">
        <v>53</v>
      </c>
    </row>
    <row r="40" ht="17.25" customHeight="1">
      <c r="A40" s="44" t="str">
        <f>Inputs!B21</f>
        <v>Weighted Pull-up</v>
      </c>
      <c r="B40" s="44" t="s">
        <v>44</v>
      </c>
      <c r="C40" s="54">
        <v>-60.0</v>
      </c>
      <c r="D40" s="46" t="s">
        <v>54</v>
      </c>
      <c r="E40" s="54">
        <v>-55.0</v>
      </c>
      <c r="F40" s="46" t="s">
        <v>54</v>
      </c>
      <c r="G40" s="54">
        <v>-50.0</v>
      </c>
      <c r="H40" s="46" t="s">
        <v>52</v>
      </c>
      <c r="I40" s="54">
        <v>-45.0</v>
      </c>
      <c r="J40" s="46" t="s">
        <v>53</v>
      </c>
    </row>
    <row r="41" ht="17.25" customHeight="1">
      <c r="A41" s="44" t="s">
        <v>49</v>
      </c>
      <c r="B41" s="44" t="s">
        <v>44</v>
      </c>
      <c r="C41" s="45"/>
      <c r="D41" s="46" t="s">
        <v>55</v>
      </c>
      <c r="E41" s="45"/>
      <c r="F41" s="46" t="s">
        <v>55</v>
      </c>
      <c r="G41" s="45"/>
      <c r="H41" s="46" t="s">
        <v>55</v>
      </c>
      <c r="I41" s="47"/>
      <c r="J41" s="49" t="s">
        <v>55</v>
      </c>
    </row>
    <row r="42" ht="17.25" customHeight="1">
      <c r="A42" s="50" t="s">
        <v>50</v>
      </c>
      <c r="B42" s="50" t="s">
        <v>44</v>
      </c>
      <c r="C42" s="51"/>
      <c r="D42" s="52" t="s">
        <v>55</v>
      </c>
      <c r="E42" s="51"/>
      <c r="F42" s="52" t="s">
        <v>55</v>
      </c>
      <c r="G42" s="51"/>
      <c r="H42" s="52" t="s">
        <v>55</v>
      </c>
      <c r="I42" s="55"/>
      <c r="J42" s="56" t="s">
        <v>55</v>
      </c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9" width="5.63"/>
    <col customWidth="1" min="10" max="10" width="10.25"/>
    <col customWidth="1" min="11" max="11" width="45.75"/>
    <col customWidth="1" min="12" max="26" width="9.13"/>
  </cols>
  <sheetData>
    <row r="1" ht="24.75" customHeight="1">
      <c r="A1" s="9" t="s">
        <v>66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Inputs!B8+7</f>
        <v>45985</v>
      </c>
      <c r="B3" s="34" t="s">
        <v>51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39"/>
      <c r="E4" s="38" t="s">
        <v>41</v>
      </c>
      <c r="F4" s="39"/>
      <c r="G4" s="38" t="s">
        <v>42</v>
      </c>
      <c r="H4" s="39"/>
      <c r="I4" s="38" t="s">
        <v>43</v>
      </c>
      <c r="J4" s="62"/>
    </row>
    <row r="5" ht="17.25" customHeight="1">
      <c r="A5" s="40" t="s">
        <v>27</v>
      </c>
      <c r="B5" s="40" t="s">
        <v>44</v>
      </c>
      <c r="C5" s="41">
        <f>IF((Inputs!B11="kg"),MROUND((Inputs!B15*0.8),2.5),MROUND((Inputs!B15*0.8),5))</f>
        <v>82.5</v>
      </c>
      <c r="D5" s="43" t="s">
        <v>67</v>
      </c>
      <c r="E5" s="60"/>
      <c r="F5" s="61"/>
      <c r="G5" s="60"/>
      <c r="H5" s="61"/>
      <c r="I5" s="60"/>
      <c r="J5" s="63"/>
      <c r="K5" s="59" t="s">
        <v>68</v>
      </c>
    </row>
    <row r="6" ht="12.75" customHeight="1">
      <c r="A6" s="64" t="s">
        <v>69</v>
      </c>
      <c r="B6" s="65"/>
      <c r="C6" s="65"/>
      <c r="D6" s="65"/>
      <c r="E6" s="65"/>
      <c r="F6" s="65"/>
      <c r="G6" s="65"/>
      <c r="H6" s="65"/>
      <c r="I6" s="65"/>
      <c r="J6" s="66"/>
      <c r="K6" s="59" t="s">
        <v>70</v>
      </c>
    </row>
    <row r="7" ht="12.75" customHeight="1">
      <c r="A7" s="64" t="s">
        <v>71</v>
      </c>
      <c r="B7" s="65"/>
      <c r="C7" s="65"/>
      <c r="D7" s="65"/>
      <c r="E7" s="65"/>
      <c r="F7" s="65"/>
      <c r="G7" s="65"/>
      <c r="H7" s="65"/>
      <c r="I7" s="65"/>
      <c r="J7" s="66"/>
    </row>
    <row r="8" ht="16.5" customHeight="1">
      <c r="A8" s="64" t="s">
        <v>72</v>
      </c>
      <c r="B8" s="65"/>
      <c r="C8" s="65"/>
      <c r="D8" s="65"/>
      <c r="E8" s="65"/>
      <c r="F8" s="65"/>
      <c r="G8" s="65"/>
      <c r="H8" s="65"/>
      <c r="I8" s="65"/>
      <c r="J8" s="66"/>
    </row>
    <row r="9" ht="17.25" customHeight="1">
      <c r="A9" s="44" t="s">
        <v>73</v>
      </c>
      <c r="B9" s="44" t="s">
        <v>44</v>
      </c>
      <c r="C9" s="54">
        <v>80.0</v>
      </c>
      <c r="D9" s="46" t="s">
        <v>53</v>
      </c>
      <c r="E9" s="54">
        <v>80.0</v>
      </c>
      <c r="F9" s="46" t="s">
        <v>53</v>
      </c>
      <c r="G9" s="54">
        <v>80.0</v>
      </c>
      <c r="H9" s="46" t="s">
        <v>53</v>
      </c>
      <c r="I9" s="47"/>
      <c r="J9" s="67"/>
      <c r="K9" s="59" t="s">
        <v>74</v>
      </c>
    </row>
    <row r="10" ht="17.25" customHeight="1">
      <c r="A10" s="44" t="s">
        <v>49</v>
      </c>
      <c r="B10" s="44" t="s">
        <v>44</v>
      </c>
      <c r="C10" s="45"/>
      <c r="D10" s="46"/>
      <c r="E10" s="45"/>
      <c r="F10" s="46"/>
      <c r="G10" s="45"/>
      <c r="H10" s="46"/>
      <c r="I10" s="47"/>
      <c r="J10" s="67"/>
    </row>
    <row r="11" ht="17.25" customHeight="1">
      <c r="A11" s="50" t="s">
        <v>50</v>
      </c>
      <c r="B11" s="50" t="s">
        <v>44</v>
      </c>
      <c r="C11" s="51"/>
      <c r="D11" s="52"/>
      <c r="E11" s="51"/>
      <c r="F11" s="52"/>
      <c r="G11" s="51"/>
      <c r="H11" s="52"/>
      <c r="I11" s="55"/>
      <c r="J11" s="68"/>
    </row>
    <row r="12" ht="17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7.25" customHeight="1">
      <c r="A13" s="33">
        <f>Inputs!B8+8</f>
        <v>45986</v>
      </c>
      <c r="B13" s="34" t="s">
        <v>51</v>
      </c>
      <c r="C13" s="35"/>
      <c r="D13" s="35"/>
      <c r="E13" s="35"/>
      <c r="F13" s="35"/>
      <c r="G13" s="35"/>
      <c r="H13" s="35"/>
      <c r="I13" s="35"/>
      <c r="J13" s="35"/>
    </row>
    <row r="14" ht="17.25" customHeight="1">
      <c r="A14" s="35"/>
      <c r="B14" s="37"/>
      <c r="C14" s="38" t="s">
        <v>40</v>
      </c>
      <c r="D14" s="39"/>
      <c r="E14" s="38" t="s">
        <v>41</v>
      </c>
      <c r="F14" s="39"/>
      <c r="G14" s="38" t="s">
        <v>42</v>
      </c>
      <c r="H14" s="39"/>
      <c r="I14" s="38" t="s">
        <v>43</v>
      </c>
      <c r="J14" s="39"/>
    </row>
    <row r="15" ht="17.25" customHeight="1">
      <c r="A15" s="40" t="s">
        <v>26</v>
      </c>
      <c r="B15" s="40" t="s">
        <v>44</v>
      </c>
      <c r="C15" s="41">
        <f>IF((Inputs!B11="kg"),MROUND((Inputs!B14*0.725),2.5),MROUND((Inputs!B14*0.725),5))</f>
        <v>62.5</v>
      </c>
      <c r="D15" s="42" t="s">
        <v>52</v>
      </c>
      <c r="E15" s="41">
        <f>IF((Inputs!B11="kg"),MROUND((Inputs!B14*0.775),2.5),MROUND((Inputs!B14*0.775),5))</f>
        <v>65</v>
      </c>
      <c r="F15" s="42" t="s">
        <v>53</v>
      </c>
      <c r="G15" s="41">
        <f>IF((Inputs!B11="kg"),(MROUND((Inputs!B14*0.8),2.5)+2.5),(MROUND((Inputs!B14*0.8),5)+5))</f>
        <v>70</v>
      </c>
      <c r="H15" s="43" t="s">
        <v>75</v>
      </c>
      <c r="I15" s="60"/>
      <c r="J15" s="61"/>
    </row>
    <row r="16" ht="17.25" customHeight="1">
      <c r="A16" s="58" t="s">
        <v>76</v>
      </c>
      <c r="B16" s="44" t="s">
        <v>44</v>
      </c>
      <c r="C16" s="54">
        <v>55.0</v>
      </c>
      <c r="D16" s="46" t="s">
        <v>52</v>
      </c>
      <c r="E16" s="54">
        <v>60.0</v>
      </c>
      <c r="F16" s="46" t="s">
        <v>53</v>
      </c>
      <c r="G16" s="54">
        <v>65.0</v>
      </c>
      <c r="H16" s="46" t="s">
        <v>53</v>
      </c>
      <c r="I16" s="47"/>
      <c r="J16" s="49"/>
      <c r="K16" s="59" t="s">
        <v>77</v>
      </c>
    </row>
    <row r="17" ht="17.25" customHeight="1">
      <c r="A17" s="44" t="str">
        <f>Inputs!B20</f>
        <v>Military Press</v>
      </c>
      <c r="B17" s="44" t="s">
        <v>44</v>
      </c>
      <c r="C17" s="54">
        <v>30.0</v>
      </c>
      <c r="D17" s="46" t="s">
        <v>52</v>
      </c>
      <c r="E17" s="54">
        <v>35.0</v>
      </c>
      <c r="F17" s="46" t="s">
        <v>53</v>
      </c>
      <c r="G17" s="54">
        <v>40.0</v>
      </c>
      <c r="H17" s="46" t="s">
        <v>45</v>
      </c>
      <c r="I17" s="47"/>
      <c r="J17" s="49"/>
    </row>
    <row r="18" ht="17.25" customHeight="1">
      <c r="A18" s="44" t="str">
        <f>Inputs!B21</f>
        <v>Weighted Pull-up</v>
      </c>
      <c r="B18" s="44" t="s">
        <v>44</v>
      </c>
      <c r="C18" s="54">
        <v>-50.0</v>
      </c>
      <c r="D18" s="46" t="s">
        <v>52</v>
      </c>
      <c r="E18" s="54">
        <v>-45.0</v>
      </c>
      <c r="F18" s="46" t="s">
        <v>53</v>
      </c>
      <c r="G18" s="54">
        <v>-40.0</v>
      </c>
      <c r="H18" s="46" t="s">
        <v>45</v>
      </c>
      <c r="I18" s="47"/>
      <c r="J18" s="49"/>
    </row>
    <row r="19" ht="17.25" customHeight="1">
      <c r="A19" s="44" t="s">
        <v>49</v>
      </c>
      <c r="B19" s="44" t="s">
        <v>44</v>
      </c>
      <c r="C19" s="45"/>
      <c r="D19" s="46" t="s">
        <v>55</v>
      </c>
      <c r="E19" s="45"/>
      <c r="F19" s="46" t="s">
        <v>55</v>
      </c>
      <c r="G19" s="45"/>
      <c r="H19" s="46" t="s">
        <v>55</v>
      </c>
      <c r="I19" s="47"/>
      <c r="J19" s="49" t="s">
        <v>55</v>
      </c>
    </row>
    <row r="20" ht="17.25" customHeight="1">
      <c r="A20" s="50" t="s">
        <v>50</v>
      </c>
      <c r="B20" s="50" t="s">
        <v>44</v>
      </c>
      <c r="C20" s="51"/>
      <c r="D20" s="52" t="s">
        <v>55</v>
      </c>
      <c r="E20" s="51"/>
      <c r="F20" s="52" t="s">
        <v>55</v>
      </c>
      <c r="G20" s="51"/>
      <c r="H20" s="52" t="s">
        <v>55</v>
      </c>
      <c r="I20" s="55"/>
      <c r="J20" s="56" t="s">
        <v>55</v>
      </c>
    </row>
    <row r="21" ht="1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7.25" customHeight="1">
      <c r="A22" s="33">
        <f>Inputs!B8+10</f>
        <v>45988</v>
      </c>
      <c r="B22" s="34" t="s">
        <v>51</v>
      </c>
      <c r="C22" s="35"/>
      <c r="D22" s="35"/>
      <c r="E22" s="35"/>
      <c r="F22" s="35"/>
      <c r="G22" s="35"/>
      <c r="H22" s="35"/>
      <c r="I22" s="35"/>
      <c r="J22" s="35"/>
    </row>
    <row r="23" ht="17.25" customHeight="1">
      <c r="A23" s="36"/>
      <c r="B23" s="37"/>
      <c r="C23" s="38" t="s">
        <v>40</v>
      </c>
      <c r="D23" s="39"/>
      <c r="E23" s="38" t="s">
        <v>41</v>
      </c>
      <c r="F23" s="39"/>
      <c r="G23" s="38" t="s">
        <v>42</v>
      </c>
      <c r="H23" s="39"/>
      <c r="I23" s="38" t="s">
        <v>43</v>
      </c>
      <c r="J23" s="39"/>
    </row>
    <row r="24" ht="17.25" customHeight="1">
      <c r="A24" s="40" t="s">
        <v>27</v>
      </c>
      <c r="B24" s="40" t="s">
        <v>44</v>
      </c>
      <c r="C24" s="41">
        <f>IF((Inputs!B11="kg"),(MROUND((Inputs!B15*0.8),2.5)+2.5),(MROUND((Inputs!B15*0.8),5)+5))</f>
        <v>85</v>
      </c>
      <c r="D24" s="43" t="s">
        <v>67</v>
      </c>
      <c r="E24" s="60"/>
      <c r="F24" s="61"/>
      <c r="G24" s="60"/>
      <c r="H24" s="61"/>
      <c r="I24" s="60"/>
      <c r="J24" s="61"/>
    </row>
    <row r="25" ht="17.25" customHeight="1">
      <c r="A25" s="69" t="s">
        <v>78</v>
      </c>
      <c r="B25" s="65"/>
      <c r="C25" s="65"/>
      <c r="D25" s="65"/>
      <c r="E25" s="65"/>
      <c r="F25" s="65"/>
      <c r="G25" s="65"/>
      <c r="H25" s="65"/>
      <c r="I25" s="65"/>
      <c r="J25" s="66"/>
    </row>
    <row r="26" ht="17.25" customHeight="1">
      <c r="A26" s="69" t="s">
        <v>79</v>
      </c>
      <c r="B26" s="65"/>
      <c r="C26" s="65"/>
      <c r="D26" s="65"/>
      <c r="E26" s="65"/>
      <c r="F26" s="65"/>
      <c r="G26" s="65"/>
      <c r="H26" s="65"/>
      <c r="I26" s="65"/>
      <c r="J26" s="66"/>
    </row>
    <row r="27" ht="17.25" customHeight="1">
      <c r="A27" s="69" t="s">
        <v>80</v>
      </c>
      <c r="B27" s="65"/>
      <c r="C27" s="65"/>
      <c r="D27" s="65"/>
      <c r="E27" s="65"/>
      <c r="F27" s="65"/>
      <c r="G27" s="65"/>
      <c r="H27" s="65"/>
      <c r="I27" s="65"/>
      <c r="J27" s="66"/>
      <c r="K27" s="59" t="s">
        <v>81</v>
      </c>
    </row>
    <row r="28" ht="17.25" customHeight="1">
      <c r="A28" s="69" t="s">
        <v>82</v>
      </c>
      <c r="B28" s="65"/>
      <c r="C28" s="65"/>
      <c r="D28" s="65"/>
      <c r="E28" s="65"/>
      <c r="F28" s="65"/>
      <c r="G28" s="65"/>
      <c r="H28" s="65"/>
      <c r="I28" s="65"/>
      <c r="J28" s="66"/>
    </row>
    <row r="29" ht="17.25" customHeight="1">
      <c r="A29" s="69" t="s">
        <v>83</v>
      </c>
      <c r="B29" s="65"/>
      <c r="C29" s="65"/>
      <c r="D29" s="65"/>
      <c r="E29" s="65"/>
      <c r="F29" s="65"/>
      <c r="G29" s="65"/>
      <c r="H29" s="65"/>
      <c r="I29" s="65"/>
      <c r="J29" s="66"/>
    </row>
    <row r="30" ht="17.25" customHeight="1">
      <c r="A30" s="44" t="s">
        <v>73</v>
      </c>
      <c r="B30" s="44" t="s">
        <v>44</v>
      </c>
      <c r="C30" s="54">
        <v>70.0</v>
      </c>
      <c r="D30" s="46" t="s">
        <v>53</v>
      </c>
      <c r="E30" s="54">
        <v>80.0</v>
      </c>
      <c r="F30" s="46" t="s">
        <v>53</v>
      </c>
      <c r="G30" s="54">
        <v>80.0</v>
      </c>
      <c r="H30" s="46" t="s">
        <v>53</v>
      </c>
      <c r="I30" s="47"/>
      <c r="J30" s="49"/>
    </row>
    <row r="31" ht="17.25" customHeight="1">
      <c r="A31" s="44" t="s">
        <v>49</v>
      </c>
      <c r="B31" s="44" t="s">
        <v>44</v>
      </c>
      <c r="C31" s="45"/>
      <c r="D31" s="46"/>
      <c r="E31" s="45"/>
      <c r="F31" s="46"/>
      <c r="G31" s="45"/>
      <c r="H31" s="46"/>
      <c r="I31" s="47"/>
      <c r="J31" s="49"/>
    </row>
    <row r="32" ht="17.25" customHeight="1">
      <c r="A32" s="50" t="s">
        <v>50</v>
      </c>
      <c r="B32" s="50" t="s">
        <v>44</v>
      </c>
      <c r="C32" s="51"/>
      <c r="D32" s="52"/>
      <c r="E32" s="51"/>
      <c r="F32" s="52"/>
      <c r="G32" s="51"/>
      <c r="H32" s="52"/>
      <c r="I32" s="55"/>
      <c r="J32" s="56"/>
    </row>
    <row r="33" ht="1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7.25" customHeight="1">
      <c r="A34" s="33">
        <f>Inputs!B8+11</f>
        <v>45989</v>
      </c>
      <c r="B34" s="34" t="s">
        <v>51</v>
      </c>
      <c r="C34" s="35"/>
      <c r="D34" s="35"/>
      <c r="E34" s="35"/>
      <c r="F34" s="35"/>
      <c r="G34" s="35"/>
      <c r="H34" s="35"/>
      <c r="I34" s="35"/>
      <c r="J34" s="35"/>
    </row>
    <row r="35" ht="17.25" customHeight="1">
      <c r="A35" s="35"/>
      <c r="B35" s="37"/>
      <c r="C35" s="38" t="s">
        <v>40</v>
      </c>
      <c r="D35" s="39"/>
      <c r="E35" s="38" t="s">
        <v>41</v>
      </c>
      <c r="F35" s="39"/>
      <c r="G35" s="38" t="s">
        <v>42</v>
      </c>
      <c r="H35" s="39"/>
      <c r="I35" s="38" t="s">
        <v>43</v>
      </c>
      <c r="J35" s="39"/>
    </row>
    <row r="36" ht="17.25" customHeight="1">
      <c r="A36" s="40" t="s">
        <v>26</v>
      </c>
      <c r="B36" s="40" t="s">
        <v>44</v>
      </c>
      <c r="C36" s="41">
        <f>IF((Inputs!B11="kg"),MROUND((Inputs!B14*0.725),2.5),MROUND((Inputs!B14*0.725),5))</f>
        <v>62.5</v>
      </c>
      <c r="D36" s="42" t="s">
        <v>52</v>
      </c>
      <c r="E36" s="41">
        <f>IF((Inputs!B11="kg"),MROUND((Inputs!B14*0.775),2.5),MROUND((Inputs!B14*0.775),5))</f>
        <v>65</v>
      </c>
      <c r="F36" s="42" t="s">
        <v>53</v>
      </c>
      <c r="G36" s="41">
        <f>IF((Inputs!B11="kg"),(MROUND((Inputs!B14*0.8),2.5)+2.5),(MROUND((Inputs!B14*0.8),5)+5))</f>
        <v>70</v>
      </c>
      <c r="H36" s="43" t="s">
        <v>75</v>
      </c>
      <c r="I36" s="60"/>
      <c r="J36" s="61"/>
    </row>
    <row r="37" ht="17.25" customHeight="1">
      <c r="A37" s="44" t="str">
        <f>Inputs!B19</f>
        <v>Barbell Row</v>
      </c>
      <c r="B37" s="44" t="s">
        <v>44</v>
      </c>
      <c r="C37" s="54">
        <v>50.0</v>
      </c>
      <c r="D37" s="46" t="s">
        <v>52</v>
      </c>
      <c r="E37" s="54">
        <v>60.0</v>
      </c>
      <c r="F37" s="46" t="s">
        <v>53</v>
      </c>
      <c r="G37" s="54">
        <v>60.0</v>
      </c>
      <c r="H37" s="46" t="s">
        <v>53</v>
      </c>
      <c r="I37" s="47"/>
      <c r="J37" s="49"/>
    </row>
    <row r="38" ht="17.25" customHeight="1">
      <c r="A38" s="44" t="str">
        <f>Inputs!B20</f>
        <v>Military Press</v>
      </c>
      <c r="B38" s="44" t="s">
        <v>44</v>
      </c>
      <c r="C38" s="54">
        <v>30.0</v>
      </c>
      <c r="D38" s="46" t="s">
        <v>52</v>
      </c>
      <c r="E38" s="54">
        <v>37.5</v>
      </c>
      <c r="F38" s="46" t="s">
        <v>53</v>
      </c>
      <c r="G38" s="54">
        <v>42.5</v>
      </c>
      <c r="H38" s="46" t="s">
        <v>45</v>
      </c>
      <c r="I38" s="47"/>
      <c r="J38" s="49"/>
    </row>
    <row r="39" ht="17.25" customHeight="1">
      <c r="A39" s="44" t="str">
        <f>Inputs!B21</f>
        <v>Weighted Pull-up</v>
      </c>
      <c r="B39" s="44" t="s">
        <v>44</v>
      </c>
      <c r="C39" s="54">
        <v>-45.0</v>
      </c>
      <c r="D39" s="46" t="s">
        <v>52</v>
      </c>
      <c r="E39" s="54">
        <v>-40.0</v>
      </c>
      <c r="F39" s="46" t="s">
        <v>53</v>
      </c>
      <c r="G39" s="54" t="s">
        <v>84</v>
      </c>
      <c r="H39" s="46" t="s">
        <v>45</v>
      </c>
      <c r="I39" s="47"/>
      <c r="J39" s="49"/>
    </row>
    <row r="40" ht="17.25" customHeight="1">
      <c r="A40" s="44" t="s">
        <v>49</v>
      </c>
      <c r="B40" s="44" t="s">
        <v>44</v>
      </c>
      <c r="C40" s="45"/>
      <c r="D40" s="46" t="s">
        <v>55</v>
      </c>
      <c r="E40" s="45"/>
      <c r="F40" s="46" t="s">
        <v>55</v>
      </c>
      <c r="G40" s="45"/>
      <c r="H40" s="46" t="s">
        <v>55</v>
      </c>
      <c r="I40" s="47"/>
      <c r="J40" s="49" t="s">
        <v>55</v>
      </c>
    </row>
    <row r="41" ht="17.25" customHeight="1">
      <c r="A41" s="50" t="s">
        <v>50</v>
      </c>
      <c r="B41" s="50" t="s">
        <v>44</v>
      </c>
      <c r="C41" s="51"/>
      <c r="D41" s="52" t="s">
        <v>55</v>
      </c>
      <c r="E41" s="51"/>
      <c r="F41" s="52" t="s">
        <v>55</v>
      </c>
      <c r="G41" s="51"/>
      <c r="H41" s="52" t="s">
        <v>55</v>
      </c>
      <c r="I41" s="55"/>
      <c r="J41" s="56" t="s">
        <v>55</v>
      </c>
    </row>
    <row r="42" ht="1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7.25" customHeight="1">
      <c r="A43" s="33">
        <f>A34+2</f>
        <v>45991</v>
      </c>
      <c r="B43" s="34" t="s">
        <v>85</v>
      </c>
      <c r="C43" s="70" t="s">
        <v>51</v>
      </c>
      <c r="D43" s="35"/>
      <c r="E43" s="35"/>
      <c r="F43" s="35"/>
      <c r="G43" s="35"/>
      <c r="H43" s="35"/>
      <c r="I43" s="35"/>
      <c r="J43" s="35"/>
    </row>
    <row r="44" ht="17.25" customHeight="1">
      <c r="A44" s="35"/>
      <c r="B44" s="37"/>
      <c r="C44" s="38" t="s">
        <v>40</v>
      </c>
      <c r="D44" s="39"/>
      <c r="E44" s="38" t="s">
        <v>41</v>
      </c>
      <c r="F44" s="39"/>
      <c r="G44" s="38" t="s">
        <v>42</v>
      </c>
      <c r="H44" s="39"/>
      <c r="I44" s="38" t="s">
        <v>43</v>
      </c>
      <c r="J44" s="39"/>
    </row>
    <row r="45" ht="17.25" customHeight="1">
      <c r="A45" s="40" t="s">
        <v>26</v>
      </c>
      <c r="B45" s="40" t="s">
        <v>44</v>
      </c>
      <c r="C45" s="41">
        <f>IF((Inputs!B11="kg"),(MROUND((Inputs!B14*0.8),2.5)-2.5),(MROUND((Inputs!B14*0.8),5)-5))</f>
        <v>65</v>
      </c>
      <c r="D45" s="43" t="s">
        <v>86</v>
      </c>
      <c r="E45" s="60"/>
      <c r="F45" s="61"/>
      <c r="G45" s="60"/>
      <c r="H45" s="61"/>
      <c r="I45" s="60"/>
      <c r="J45" s="61"/>
    </row>
    <row r="46" ht="17.25" customHeight="1">
      <c r="A46" s="44" t="str">
        <f>Inputs!B19</f>
        <v>Barbell Row</v>
      </c>
      <c r="B46" s="44" t="s">
        <v>44</v>
      </c>
      <c r="C46" s="54">
        <v>60.0</v>
      </c>
      <c r="D46" s="46" t="s">
        <v>52</v>
      </c>
      <c r="E46" s="54">
        <v>70.0</v>
      </c>
      <c r="F46" s="46" t="s">
        <v>53</v>
      </c>
      <c r="G46" s="54">
        <v>70.0</v>
      </c>
      <c r="H46" s="46" t="s">
        <v>53</v>
      </c>
      <c r="I46" s="47"/>
      <c r="J46" s="49"/>
    </row>
    <row r="47" ht="17.25" customHeight="1">
      <c r="A47" s="44" t="str">
        <f>Inputs!B20</f>
        <v>Military Press</v>
      </c>
      <c r="B47" s="44" t="s">
        <v>44</v>
      </c>
      <c r="C47" s="54">
        <v>32.5</v>
      </c>
      <c r="D47" s="46" t="s">
        <v>52</v>
      </c>
      <c r="E47" s="54">
        <v>40.0</v>
      </c>
      <c r="F47" s="46" t="s">
        <v>53</v>
      </c>
      <c r="G47" s="54">
        <v>45.0</v>
      </c>
      <c r="H47" s="46" t="s">
        <v>45</v>
      </c>
      <c r="I47" s="47"/>
      <c r="J47" s="49"/>
    </row>
    <row r="48" ht="17.25" customHeight="1">
      <c r="A48" s="44" t="str">
        <f>Inputs!B21</f>
        <v>Weighted Pull-up</v>
      </c>
      <c r="B48" s="44" t="s">
        <v>44</v>
      </c>
      <c r="C48" s="54">
        <v>-40.0</v>
      </c>
      <c r="D48" s="46" t="s">
        <v>52</v>
      </c>
      <c r="E48" s="54">
        <v>-35.0</v>
      </c>
      <c r="F48" s="46" t="s">
        <v>53</v>
      </c>
      <c r="G48" s="54">
        <v>0.0</v>
      </c>
      <c r="H48" s="46" t="s">
        <v>45</v>
      </c>
      <c r="I48" s="47"/>
      <c r="J48" s="49"/>
    </row>
    <row r="49" ht="17.25" customHeight="1">
      <c r="A49" s="44" t="s">
        <v>49</v>
      </c>
      <c r="B49" s="44" t="s">
        <v>44</v>
      </c>
      <c r="C49" s="45"/>
      <c r="D49" s="46" t="s">
        <v>55</v>
      </c>
      <c r="E49" s="45"/>
      <c r="F49" s="46" t="s">
        <v>55</v>
      </c>
      <c r="G49" s="45"/>
      <c r="H49" s="46" t="s">
        <v>55</v>
      </c>
      <c r="I49" s="47"/>
      <c r="J49" s="49" t="s">
        <v>55</v>
      </c>
    </row>
    <row r="50" ht="17.25" customHeight="1">
      <c r="A50" s="50" t="s">
        <v>50</v>
      </c>
      <c r="B50" s="50" t="s">
        <v>44</v>
      </c>
      <c r="C50" s="51"/>
      <c r="D50" s="52" t="s">
        <v>55</v>
      </c>
      <c r="E50" s="51"/>
      <c r="F50" s="52" t="s">
        <v>55</v>
      </c>
      <c r="G50" s="51"/>
      <c r="H50" s="52" t="s">
        <v>55</v>
      </c>
      <c r="I50" s="55"/>
      <c r="J50" s="56" t="s">
        <v>55</v>
      </c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9">
    <mergeCell ref="A28:J28"/>
    <mergeCell ref="A29:J29"/>
    <mergeCell ref="A1:J1"/>
    <mergeCell ref="A6:J6"/>
    <mergeCell ref="A7:J7"/>
    <mergeCell ref="A8:J8"/>
    <mergeCell ref="A25:J25"/>
    <mergeCell ref="A26:J26"/>
    <mergeCell ref="A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11" width="17.38"/>
    <col customWidth="1" min="12" max="26" width="9.13"/>
  </cols>
  <sheetData>
    <row r="1" ht="24.75" customHeight="1">
      <c r="A1" s="9" t="s">
        <v>87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Inputs!B8+14</f>
        <v>45992</v>
      </c>
      <c r="B3" s="34" t="s">
        <v>51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39"/>
      <c r="E4" s="38" t="s">
        <v>41</v>
      </c>
      <c r="F4" s="39"/>
      <c r="G4" s="38" t="s">
        <v>42</v>
      </c>
      <c r="H4" s="39"/>
      <c r="I4" s="38" t="s">
        <v>43</v>
      </c>
      <c r="J4" s="39"/>
    </row>
    <row r="5" ht="17.25" customHeight="1">
      <c r="A5" s="40" t="s">
        <v>27</v>
      </c>
      <c r="B5" s="40" t="s">
        <v>44</v>
      </c>
      <c r="C5" s="41">
        <f>IF((Inputs!B11="kg"),(MROUND((Inputs!B15*0.85),2.5)+2.5),(MROUND((Inputs!B15*0.85),5)+5))</f>
        <v>90</v>
      </c>
      <c r="D5" s="43" t="s">
        <v>88</v>
      </c>
      <c r="E5" s="41">
        <f>IF((Inputs!B11="kg"),(MROUND((Inputs!B15*0.85),2.5)+2.5),(MROUND((Inputs!B15*0.85),5)+5))</f>
        <v>90</v>
      </c>
      <c r="F5" s="43" t="s">
        <v>89</v>
      </c>
      <c r="G5" s="41">
        <f>IF((Inputs!B11="kg"),(MROUND((Inputs!B15*0.85),2.5)+2.5),(MROUND((Inputs!B15*0.85),5)+5))</f>
        <v>90</v>
      </c>
      <c r="H5" s="43" t="s">
        <v>88</v>
      </c>
      <c r="I5" s="60"/>
      <c r="J5" s="61"/>
    </row>
    <row r="6" ht="17.25" customHeight="1">
      <c r="A6" s="44" t="s">
        <v>28</v>
      </c>
      <c r="B6" s="44" t="s">
        <v>44</v>
      </c>
      <c r="C6" s="45">
        <f>IF((Inputs!B11="kg"),MROUND((Inputs!B16*0.875),2.5),MROUND((Inputs!B16*0.875),5))</f>
        <v>132.5</v>
      </c>
      <c r="D6" s="57" t="s">
        <v>90</v>
      </c>
      <c r="E6" s="45">
        <f>IF((Inputs!B11="kg"),MROUND((Inputs!B16*0.875),2.5),MROUND((Inputs!B16*0.875),5))</f>
        <v>132.5</v>
      </c>
      <c r="F6" s="57" t="s">
        <v>91</v>
      </c>
      <c r="G6" s="47"/>
      <c r="H6" s="49"/>
      <c r="I6" s="47"/>
      <c r="J6" s="49"/>
    </row>
    <row r="7" ht="17.25" customHeight="1">
      <c r="A7" s="50" t="s">
        <v>92</v>
      </c>
      <c r="B7" s="71"/>
      <c r="C7" s="55"/>
      <c r="D7" s="56"/>
      <c r="E7" s="55"/>
      <c r="F7" s="56"/>
      <c r="G7" s="55"/>
      <c r="H7" s="56"/>
      <c r="I7" s="55"/>
      <c r="J7" s="56"/>
    </row>
    <row r="8" ht="17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7.25" customHeight="1">
      <c r="A9" s="33">
        <f>A3+2</f>
        <v>45994</v>
      </c>
      <c r="B9" s="34" t="s">
        <v>51</v>
      </c>
      <c r="C9" s="35"/>
      <c r="D9" s="35"/>
      <c r="E9" s="35"/>
      <c r="F9" s="35"/>
      <c r="G9" s="35"/>
      <c r="H9" s="35"/>
      <c r="I9" s="35"/>
      <c r="J9" s="35"/>
    </row>
    <row r="10" ht="17.25" customHeight="1">
      <c r="A10" s="35"/>
      <c r="B10" s="37"/>
      <c r="C10" s="38" t="s">
        <v>40</v>
      </c>
      <c r="D10" s="39"/>
      <c r="E10" s="38" t="s">
        <v>41</v>
      </c>
      <c r="F10" s="39"/>
      <c r="G10" s="38" t="s">
        <v>42</v>
      </c>
      <c r="H10" s="39"/>
      <c r="I10" s="38" t="s">
        <v>43</v>
      </c>
      <c r="J10" s="39"/>
    </row>
    <row r="11" ht="17.25" customHeight="1">
      <c r="A11" s="40" t="s">
        <v>26</v>
      </c>
      <c r="B11" s="40" t="s">
        <v>44</v>
      </c>
      <c r="C11" s="41">
        <f>IF((Inputs!B11="kg"),MROUND((Inputs!B14*0.85),2.5),MROUND((Inputs!B14*0.85),5))</f>
        <v>72.5</v>
      </c>
      <c r="D11" s="43" t="s">
        <v>88</v>
      </c>
      <c r="E11" s="41">
        <f>IF((Inputs!B11="kg"),MROUND((Inputs!B14*0.85),2.5),MROUND((Inputs!B14*0.85),5))</f>
        <v>72.5</v>
      </c>
      <c r="F11" s="43" t="s">
        <v>88</v>
      </c>
      <c r="G11" s="41">
        <f>IF((Inputs!B11="kg"),MROUND((Inputs!B14*0.85),2.5),MROUND((Inputs!B14*0.85),5))</f>
        <v>72.5</v>
      </c>
      <c r="H11" s="42" t="s">
        <v>93</v>
      </c>
      <c r="I11" s="60"/>
      <c r="J11" s="61"/>
    </row>
    <row r="12" ht="17.25" customHeight="1">
      <c r="A12" s="44" t="str">
        <f>Inputs!B19</f>
        <v>Barbell Row</v>
      </c>
      <c r="B12" s="44" t="s">
        <v>44</v>
      </c>
      <c r="C12" s="54">
        <v>70.0</v>
      </c>
      <c r="D12" s="46" t="s">
        <v>45</v>
      </c>
      <c r="E12" s="54">
        <v>70.0</v>
      </c>
      <c r="F12" s="46" t="s">
        <v>45</v>
      </c>
      <c r="G12" s="54">
        <v>70.0</v>
      </c>
      <c r="H12" s="46" t="s">
        <v>45</v>
      </c>
      <c r="I12" s="47"/>
      <c r="J12" s="49"/>
      <c r="K12" s="59" t="s">
        <v>94</v>
      </c>
    </row>
    <row r="13" ht="17.25" customHeight="1">
      <c r="A13" s="44" t="str">
        <f>Inputs!B20</f>
        <v>Military Press</v>
      </c>
      <c r="B13" s="44" t="s">
        <v>44</v>
      </c>
      <c r="C13" s="54">
        <v>47.5</v>
      </c>
      <c r="D13" s="46" t="s">
        <v>45</v>
      </c>
      <c r="E13" s="54">
        <v>47.5</v>
      </c>
      <c r="F13" s="46" t="s">
        <v>45</v>
      </c>
      <c r="G13" s="54">
        <v>47.5</v>
      </c>
      <c r="H13" s="57" t="s">
        <v>95</v>
      </c>
      <c r="I13" s="47"/>
      <c r="J13" s="49"/>
      <c r="K13" s="59" t="s">
        <v>96</v>
      </c>
    </row>
    <row r="14" ht="17.25" customHeight="1">
      <c r="A14" s="44" t="str">
        <f>Inputs!B21</f>
        <v>Weighted Pull-up</v>
      </c>
      <c r="B14" s="44" t="s">
        <v>44</v>
      </c>
      <c r="C14" s="54" t="s">
        <v>97</v>
      </c>
      <c r="D14" s="46" t="s">
        <v>45</v>
      </c>
      <c r="E14" s="54" t="s">
        <v>97</v>
      </c>
      <c r="F14" s="46" t="s">
        <v>45</v>
      </c>
      <c r="G14" s="54" t="s">
        <v>97</v>
      </c>
      <c r="H14" s="46" t="s">
        <v>45</v>
      </c>
      <c r="I14" s="47"/>
      <c r="J14" s="49"/>
      <c r="K14" s="59" t="s">
        <v>98</v>
      </c>
    </row>
    <row r="15" ht="17.25" customHeight="1">
      <c r="A15" s="50" t="s">
        <v>99</v>
      </c>
      <c r="B15" s="71"/>
      <c r="C15" s="55"/>
      <c r="D15" s="56"/>
      <c r="E15" s="55"/>
      <c r="F15" s="56"/>
      <c r="G15" s="55"/>
      <c r="H15" s="56"/>
      <c r="I15" s="55"/>
      <c r="J15" s="56"/>
    </row>
    <row r="16" ht="17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7.25" customHeight="1">
      <c r="A17" s="33">
        <f>A9+2</f>
        <v>45996</v>
      </c>
      <c r="B17" s="34" t="s">
        <v>51</v>
      </c>
      <c r="C17" s="72"/>
      <c r="D17" s="72"/>
      <c r="E17" s="72"/>
      <c r="F17" s="72"/>
      <c r="G17" s="72"/>
      <c r="H17" s="72"/>
      <c r="I17" s="72"/>
      <c r="J17" s="72"/>
    </row>
    <row r="18" ht="17.25" customHeight="1">
      <c r="A18" s="36"/>
      <c r="B18" s="37"/>
      <c r="C18" s="38" t="s">
        <v>40</v>
      </c>
      <c r="D18" s="39"/>
      <c r="E18" s="38" t="s">
        <v>41</v>
      </c>
      <c r="F18" s="39"/>
      <c r="G18" s="38" t="s">
        <v>42</v>
      </c>
      <c r="H18" s="39"/>
      <c r="I18" s="38" t="s">
        <v>43</v>
      </c>
      <c r="J18" s="39"/>
    </row>
    <row r="19" ht="17.25" customHeight="1">
      <c r="A19" s="40" t="s">
        <v>27</v>
      </c>
      <c r="B19" s="40" t="s">
        <v>44</v>
      </c>
      <c r="C19" s="41">
        <f>IF((Inputs!B11="kg"),(MROUND(((Inputs!B15*0.85)+2.5),2.5)+2.5),(MROUND(((Inputs!B15*0.85)+5),5)+5))</f>
        <v>92.5</v>
      </c>
      <c r="D19" s="43" t="s">
        <v>100</v>
      </c>
      <c r="E19" s="60"/>
      <c r="F19" s="61"/>
      <c r="G19" s="60"/>
      <c r="H19" s="61"/>
      <c r="I19" s="60"/>
      <c r="J19" s="61"/>
    </row>
    <row r="20" ht="17.25" customHeight="1">
      <c r="A20" s="44" t="s">
        <v>73</v>
      </c>
      <c r="B20" s="44" t="s">
        <v>44</v>
      </c>
      <c r="C20" s="54">
        <v>75.0</v>
      </c>
      <c r="D20" s="46" t="s">
        <v>53</v>
      </c>
      <c r="E20" s="47"/>
      <c r="F20" s="49"/>
      <c r="G20" s="47"/>
      <c r="H20" s="49"/>
      <c r="I20" s="47"/>
      <c r="J20" s="49"/>
    </row>
    <row r="21" ht="17.25" customHeight="1">
      <c r="A21" s="50" t="s">
        <v>92</v>
      </c>
      <c r="B21" s="71"/>
      <c r="C21" s="55"/>
      <c r="D21" s="56"/>
      <c r="E21" s="55"/>
      <c r="F21" s="56"/>
      <c r="G21" s="55"/>
      <c r="H21" s="56"/>
      <c r="I21" s="55"/>
      <c r="J21" s="56"/>
    </row>
    <row r="22" ht="1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7.25" customHeight="1">
      <c r="A23" s="33">
        <f>A9+3</f>
        <v>45997</v>
      </c>
      <c r="B23" s="34" t="s">
        <v>51</v>
      </c>
      <c r="C23" s="35"/>
      <c r="D23" s="35"/>
      <c r="E23" s="35"/>
      <c r="F23" s="35"/>
      <c r="G23" s="35"/>
      <c r="H23" s="35"/>
      <c r="I23" s="35"/>
      <c r="J23" s="35"/>
    </row>
    <row r="24" ht="17.25" customHeight="1">
      <c r="A24" s="35"/>
      <c r="B24" s="37"/>
      <c r="C24" s="38" t="s">
        <v>40</v>
      </c>
      <c r="D24" s="39"/>
      <c r="E24" s="38" t="s">
        <v>41</v>
      </c>
      <c r="F24" s="39"/>
      <c r="G24" s="38" t="s">
        <v>42</v>
      </c>
      <c r="H24" s="39"/>
      <c r="I24" s="38" t="s">
        <v>43</v>
      </c>
      <c r="J24" s="39"/>
    </row>
    <row r="25" ht="17.25" customHeight="1">
      <c r="A25" s="40" t="s">
        <v>26</v>
      </c>
      <c r="B25" s="40" t="s">
        <v>44</v>
      </c>
      <c r="C25" s="41">
        <f>IF((Inputs!B11="kg"),(C11+2.5),(C11+5))</f>
        <v>75</v>
      </c>
      <c r="D25" s="43" t="s">
        <v>88</v>
      </c>
      <c r="E25" s="41">
        <f>IF((Inputs!B11="kg"),(E11+2.5),(E11+5))</f>
        <v>75</v>
      </c>
      <c r="F25" s="43" t="s">
        <v>101</v>
      </c>
      <c r="G25" s="41">
        <f>IF((Inputs!B11="kg"),(G11+2.5),(G11+5))</f>
        <v>75</v>
      </c>
      <c r="H25" s="43" t="s">
        <v>101</v>
      </c>
      <c r="I25" s="60"/>
      <c r="J25" s="61"/>
    </row>
    <row r="26" ht="17.25" customHeight="1">
      <c r="A26" s="44" t="str">
        <f>Inputs!B19</f>
        <v>Barbell Row</v>
      </c>
      <c r="B26" s="44" t="s">
        <v>44</v>
      </c>
      <c r="C26" s="54">
        <v>70.0</v>
      </c>
      <c r="D26" s="46" t="s">
        <v>45</v>
      </c>
      <c r="E26" s="54">
        <v>70.0</v>
      </c>
      <c r="F26" s="46" t="s">
        <v>45</v>
      </c>
      <c r="G26" s="54">
        <v>70.0</v>
      </c>
      <c r="H26" s="46" t="s">
        <v>45</v>
      </c>
      <c r="I26" s="47"/>
      <c r="J26" s="49"/>
    </row>
    <row r="27" ht="17.25" customHeight="1">
      <c r="A27" s="44" t="str">
        <f>Inputs!B20</f>
        <v>Military Press</v>
      </c>
      <c r="B27" s="44" t="s">
        <v>44</v>
      </c>
      <c r="C27" s="54">
        <v>50.0</v>
      </c>
      <c r="D27" s="46" t="s">
        <v>45</v>
      </c>
      <c r="E27" s="54">
        <v>50.0</v>
      </c>
      <c r="F27" s="57" t="s">
        <v>102</v>
      </c>
      <c r="G27" s="54">
        <v>50.0</v>
      </c>
      <c r="H27" s="57" t="s">
        <v>102</v>
      </c>
      <c r="I27" s="47"/>
      <c r="J27" s="49"/>
      <c r="K27" s="59" t="s">
        <v>103</v>
      </c>
    </row>
    <row r="28" ht="17.25" customHeight="1">
      <c r="A28" s="44" t="str">
        <f>Inputs!B21</f>
        <v>Weighted Pull-up</v>
      </c>
      <c r="B28" s="58" t="s">
        <v>44</v>
      </c>
      <c r="C28" s="54">
        <v>0.0</v>
      </c>
      <c r="D28" s="46" t="s">
        <v>45</v>
      </c>
      <c r="E28" s="54">
        <v>0.0</v>
      </c>
      <c r="F28" s="46" t="s">
        <v>45</v>
      </c>
      <c r="G28" s="54">
        <v>0.0</v>
      </c>
      <c r="H28" s="46" t="s">
        <v>45</v>
      </c>
      <c r="I28" s="47"/>
      <c r="J28" s="49"/>
    </row>
    <row r="29" ht="17.25" customHeight="1">
      <c r="A29" s="50" t="s">
        <v>99</v>
      </c>
      <c r="B29" s="71"/>
      <c r="C29" s="55"/>
      <c r="D29" s="56"/>
      <c r="E29" s="55"/>
      <c r="F29" s="56"/>
      <c r="G29" s="55"/>
      <c r="H29" s="56"/>
      <c r="I29" s="55"/>
      <c r="J29" s="56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104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Inputs!B8+21</f>
        <v>45999</v>
      </c>
      <c r="B3" s="34" t="s">
        <v>51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39"/>
      <c r="E4" s="38" t="s">
        <v>41</v>
      </c>
      <c r="F4" s="39"/>
      <c r="G4" s="38" t="s">
        <v>42</v>
      </c>
      <c r="H4" s="39"/>
      <c r="I4" s="38" t="s">
        <v>43</v>
      </c>
      <c r="J4" s="39"/>
    </row>
    <row r="5" ht="17.25" customHeight="1">
      <c r="A5" s="40" t="s">
        <v>27</v>
      </c>
      <c r="B5" s="40" t="s">
        <v>44</v>
      </c>
      <c r="C5" s="41">
        <f>IF((Inputs!B11="kg"),(MROUND((Inputs!B15*0.9),2.5)-2.5),(MROUND((Inputs!B15*0.9),5)-5))</f>
        <v>90</v>
      </c>
      <c r="D5" s="42" t="s">
        <v>105</v>
      </c>
      <c r="E5" s="41">
        <f>IF((Inputs!B11="kg"),MROUND((Inputs!B15*0.9),2.5),MROUND((Inputs!B15*0.9),5))</f>
        <v>92.5</v>
      </c>
      <c r="F5" s="42" t="s">
        <v>105</v>
      </c>
      <c r="G5" s="73">
        <f>IF((Inputs!B11="kg"),(MROUND((Inputs!B15*0.9),2.5)+2.5),(MROUND((Inputs!B15*0.9),5)+5))</f>
        <v>95</v>
      </c>
      <c r="H5" s="74" t="s">
        <v>105</v>
      </c>
      <c r="I5" s="60"/>
      <c r="J5" s="61"/>
      <c r="K5" s="59" t="s">
        <v>106</v>
      </c>
    </row>
    <row r="6" ht="17.25" customHeight="1">
      <c r="A6" s="44" t="s">
        <v>73</v>
      </c>
      <c r="B6" s="44" t="s">
        <v>44</v>
      </c>
      <c r="C6" s="54">
        <v>80.0</v>
      </c>
      <c r="D6" s="46" t="s">
        <v>45</v>
      </c>
      <c r="E6" s="54">
        <v>90.0</v>
      </c>
      <c r="F6" s="46" t="s">
        <v>45</v>
      </c>
      <c r="G6" s="47"/>
      <c r="H6" s="49"/>
      <c r="I6" s="47"/>
      <c r="J6" s="49"/>
    </row>
    <row r="7" ht="17.25" customHeight="1">
      <c r="A7" s="44" t="s">
        <v>49</v>
      </c>
      <c r="B7" s="44" t="s">
        <v>44</v>
      </c>
      <c r="C7" s="45"/>
      <c r="D7" s="46"/>
      <c r="E7" s="45"/>
      <c r="F7" s="46"/>
      <c r="G7" s="45"/>
      <c r="H7" s="46"/>
      <c r="I7" s="47"/>
      <c r="J7" s="49"/>
    </row>
    <row r="8" ht="17.25" customHeight="1">
      <c r="A8" s="50" t="s">
        <v>50</v>
      </c>
      <c r="B8" s="50" t="s">
        <v>44</v>
      </c>
      <c r="C8" s="51"/>
      <c r="D8" s="52"/>
      <c r="E8" s="51"/>
      <c r="F8" s="52"/>
      <c r="G8" s="51"/>
      <c r="H8" s="52"/>
      <c r="I8" s="55"/>
      <c r="J8" s="56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3">
        <f>A3+1</f>
        <v>46000</v>
      </c>
      <c r="B10" s="34" t="s">
        <v>51</v>
      </c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40</v>
      </c>
      <c r="D11" s="39"/>
      <c r="E11" s="38" t="s">
        <v>41</v>
      </c>
      <c r="F11" s="39"/>
      <c r="G11" s="38" t="s">
        <v>42</v>
      </c>
      <c r="H11" s="39"/>
      <c r="I11" s="38" t="s">
        <v>43</v>
      </c>
      <c r="J11" s="39"/>
    </row>
    <row r="12" ht="17.25" customHeight="1">
      <c r="A12" s="40" t="s">
        <v>26</v>
      </c>
      <c r="B12" s="40" t="s">
        <v>44</v>
      </c>
      <c r="C12" s="41">
        <f>IF((Inputs!B11="kg"),MROUND(((Inputs!B14*0.875)-5),2.5),MROUND(((Inputs!B14*0.875)-5),5))</f>
        <v>70</v>
      </c>
      <c r="D12" s="42" t="s">
        <v>105</v>
      </c>
      <c r="E12" s="41">
        <f>IF((Inputs!B11="kg"),MROUND(((Inputs!B14*0.9)-5),2.5),MROUND(((Inputs!B14*0.9)-5),5))</f>
        <v>70</v>
      </c>
      <c r="F12" s="42" t="s">
        <v>105</v>
      </c>
      <c r="G12" s="41">
        <f>IF((Inputs!B11="kg"),MROUND((Inputs!B14*0.9),2.5),MROUND((Inputs!B14*0.9),5))</f>
        <v>75</v>
      </c>
      <c r="H12" s="42" t="s">
        <v>105</v>
      </c>
      <c r="I12" s="60"/>
      <c r="J12" s="61"/>
      <c r="K12" s="59" t="s">
        <v>107</v>
      </c>
    </row>
    <row r="13" ht="17.25" customHeight="1">
      <c r="A13" s="44" t="str">
        <f>Inputs!B19</f>
        <v>Barbell Row</v>
      </c>
      <c r="B13" s="44" t="s">
        <v>44</v>
      </c>
      <c r="C13" s="54">
        <v>50.0</v>
      </c>
      <c r="D13" s="46" t="s">
        <v>52</v>
      </c>
      <c r="E13" s="54">
        <v>60.0</v>
      </c>
      <c r="F13" s="46" t="s">
        <v>52</v>
      </c>
      <c r="G13" s="54">
        <v>70.0</v>
      </c>
      <c r="H13" s="46" t="s">
        <v>53</v>
      </c>
      <c r="I13" s="54">
        <v>72.5</v>
      </c>
      <c r="J13" s="46" t="s">
        <v>45</v>
      </c>
    </row>
    <row r="14" ht="17.25" customHeight="1">
      <c r="A14" s="44" t="str">
        <f>Inputs!B20</f>
        <v>Military Press</v>
      </c>
      <c r="B14" s="44" t="s">
        <v>44</v>
      </c>
      <c r="C14" s="54">
        <v>35.0</v>
      </c>
      <c r="D14" s="46" t="s">
        <v>54</v>
      </c>
      <c r="E14" s="54">
        <v>40.0</v>
      </c>
      <c r="F14" s="57" t="s">
        <v>108</v>
      </c>
      <c r="G14" s="54">
        <v>42.5</v>
      </c>
      <c r="H14" s="57" t="s">
        <v>109</v>
      </c>
      <c r="I14" s="54">
        <v>42.5</v>
      </c>
      <c r="J14" s="57" t="s">
        <v>64</v>
      </c>
    </row>
    <row r="15" ht="17.25" customHeight="1">
      <c r="A15" s="44" t="str">
        <f>Inputs!B21</f>
        <v>Weighted Pull-up</v>
      </c>
      <c r="B15" s="44" t="s">
        <v>44</v>
      </c>
      <c r="C15" s="54">
        <v>-40.0</v>
      </c>
      <c r="D15" s="46" t="s">
        <v>54</v>
      </c>
      <c r="E15" s="54">
        <v>-40.0</v>
      </c>
      <c r="F15" s="57" t="s">
        <v>110</v>
      </c>
      <c r="G15" s="54">
        <v>-40.0</v>
      </c>
      <c r="H15" s="57" t="s">
        <v>111</v>
      </c>
      <c r="I15" s="54">
        <v>-45.0</v>
      </c>
      <c r="J15" s="46" t="s">
        <v>53</v>
      </c>
    </row>
    <row r="16" ht="17.25" customHeight="1">
      <c r="A16" s="44" t="s">
        <v>49</v>
      </c>
      <c r="B16" s="44" t="s">
        <v>44</v>
      </c>
      <c r="C16" s="45"/>
      <c r="D16" s="46" t="s">
        <v>55</v>
      </c>
      <c r="E16" s="45"/>
      <c r="F16" s="46" t="s">
        <v>55</v>
      </c>
      <c r="G16" s="45"/>
      <c r="H16" s="46" t="s">
        <v>55</v>
      </c>
      <c r="I16" s="45"/>
      <c r="J16" s="46" t="s">
        <v>55</v>
      </c>
    </row>
    <row r="17" ht="17.25" customHeight="1">
      <c r="A17" s="50" t="s">
        <v>50</v>
      </c>
      <c r="B17" s="50" t="s">
        <v>44</v>
      </c>
      <c r="C17" s="51"/>
      <c r="D17" s="52" t="s">
        <v>55</v>
      </c>
      <c r="E17" s="51"/>
      <c r="F17" s="52" t="s">
        <v>55</v>
      </c>
      <c r="G17" s="51"/>
      <c r="H17" s="52" t="s">
        <v>55</v>
      </c>
      <c r="I17" s="51"/>
      <c r="J17" s="52" t="s">
        <v>55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3">
        <f>A10+2</f>
        <v>46002</v>
      </c>
      <c r="B19" s="34" t="s">
        <v>112</v>
      </c>
      <c r="C19" s="70" t="s">
        <v>51</v>
      </c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40</v>
      </c>
      <c r="D20" s="39"/>
      <c r="E20" s="38" t="s">
        <v>41</v>
      </c>
      <c r="F20" s="39"/>
      <c r="G20" s="38" t="s">
        <v>42</v>
      </c>
      <c r="H20" s="39"/>
      <c r="I20" s="38" t="s">
        <v>43</v>
      </c>
      <c r="J20" s="39"/>
    </row>
    <row r="21" ht="17.25" customHeight="1">
      <c r="A21" s="40" t="s">
        <v>27</v>
      </c>
      <c r="B21" s="40" t="s">
        <v>44</v>
      </c>
      <c r="C21" s="41">
        <f>IF((Inputs!B11="kg"),(MROUND((Inputs!B15*0.9),2.5)+2.5),(MROUND((Inputs!B15*0.9),5)+5))</f>
        <v>95</v>
      </c>
      <c r="D21" s="42" t="s">
        <v>105</v>
      </c>
      <c r="E21" s="41">
        <f>IF((Inputs!B11="kg"),MROUND((Inputs!B15*0.95),2.5),MROUND((Inputs!B15*0.95),5))</f>
        <v>97.5</v>
      </c>
      <c r="F21" s="42" t="s">
        <v>113</v>
      </c>
      <c r="G21" s="60"/>
      <c r="H21" s="61"/>
      <c r="I21" s="60"/>
      <c r="J21" s="61"/>
    </row>
    <row r="22" ht="17.25" customHeight="1">
      <c r="A22" s="44" t="s">
        <v>28</v>
      </c>
      <c r="B22" s="44" t="s">
        <v>44</v>
      </c>
      <c r="C22" s="45">
        <f>IF((Inputs!B11="kg"),(MROUND((Inputs!B16*0.9),2.5)+2.5),(MROUND((Inputs!B16*0.9),5)+5))</f>
        <v>137.5</v>
      </c>
      <c r="D22" s="46" t="s">
        <v>105</v>
      </c>
      <c r="E22" s="45">
        <f>IF((Inputs!B11="kg"),MROUND((Inputs!B16*0.95),2.5),MROUND((Inputs!B16*0.95),5))</f>
        <v>142.5</v>
      </c>
      <c r="F22" s="46" t="s">
        <v>113</v>
      </c>
      <c r="G22" s="47"/>
      <c r="H22" s="49"/>
      <c r="I22" s="47"/>
      <c r="J22" s="49"/>
    </row>
    <row r="23" ht="17.25" customHeight="1">
      <c r="A23" s="44" t="s">
        <v>49</v>
      </c>
      <c r="B23" s="44" t="s">
        <v>44</v>
      </c>
      <c r="C23" s="45"/>
      <c r="D23" s="46"/>
      <c r="E23" s="45"/>
      <c r="F23" s="46"/>
      <c r="G23" s="45"/>
      <c r="H23" s="46"/>
      <c r="I23" s="47"/>
      <c r="J23" s="49"/>
    </row>
    <row r="24" ht="17.25" customHeight="1">
      <c r="A24" s="50" t="s">
        <v>50</v>
      </c>
      <c r="B24" s="50" t="s">
        <v>44</v>
      </c>
      <c r="C24" s="51"/>
      <c r="D24" s="52"/>
      <c r="E24" s="51"/>
      <c r="F24" s="52"/>
      <c r="G24" s="51"/>
      <c r="H24" s="52"/>
      <c r="I24" s="55"/>
      <c r="J24" s="56"/>
    </row>
    <row r="25" ht="17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7.25" customHeight="1">
      <c r="A26" s="33">
        <f>A19+1</f>
        <v>46003</v>
      </c>
      <c r="B26" s="8"/>
      <c r="C26" s="35"/>
      <c r="D26" s="35"/>
      <c r="E26" s="35"/>
      <c r="F26" s="35"/>
      <c r="G26" s="35"/>
      <c r="H26" s="35"/>
      <c r="I26" s="35"/>
      <c r="J26" s="35"/>
    </row>
    <row r="27" ht="17.25" customHeight="1">
      <c r="A27" s="35"/>
      <c r="B27" s="37"/>
      <c r="C27" s="38" t="s">
        <v>40</v>
      </c>
      <c r="D27" s="39"/>
      <c r="E27" s="38" t="s">
        <v>41</v>
      </c>
      <c r="F27" s="39"/>
      <c r="G27" s="38" t="s">
        <v>42</v>
      </c>
      <c r="H27" s="39"/>
      <c r="I27" s="38" t="s">
        <v>43</v>
      </c>
      <c r="J27" s="39"/>
    </row>
    <row r="28" ht="17.25" customHeight="1">
      <c r="A28" s="40" t="s">
        <v>26</v>
      </c>
      <c r="B28" s="40" t="s">
        <v>44</v>
      </c>
      <c r="C28" s="41">
        <f>IF((Inputs!B11="kg"),MROUND((Inputs!B14*0.875),2.5),MROUND((Inputs!B14*0.875),5))</f>
        <v>75</v>
      </c>
      <c r="D28" s="42" t="s">
        <v>105</v>
      </c>
      <c r="E28" s="41">
        <f>IF((Inputs!B11="kg"),MROUND((Inputs!B14*0.9),2.5),MROUND((Inputs!B14*0.9),5))</f>
        <v>75</v>
      </c>
      <c r="F28" s="42" t="s">
        <v>114</v>
      </c>
      <c r="G28" s="41">
        <f>IF((Inputs!B11="kg"),MROUND((Inputs!B14*0.95),2.5),MROUND((Inputs!B14*0.95),5))</f>
        <v>80</v>
      </c>
      <c r="H28" s="42" t="s">
        <v>113</v>
      </c>
      <c r="I28" s="60"/>
      <c r="J28" s="61"/>
      <c r="K28" s="59" t="s">
        <v>115</v>
      </c>
    </row>
    <row r="29" ht="17.25" customHeight="1">
      <c r="A29" s="44" t="str">
        <f>Inputs!B19</f>
        <v>Barbell Row</v>
      </c>
      <c r="B29" s="44" t="s">
        <v>44</v>
      </c>
      <c r="C29" s="54">
        <v>60.0</v>
      </c>
      <c r="D29" s="46" t="s">
        <v>52</v>
      </c>
      <c r="E29" s="54">
        <v>60.0</v>
      </c>
      <c r="F29" s="46" t="s">
        <v>52</v>
      </c>
      <c r="G29" s="54">
        <v>62.5</v>
      </c>
      <c r="H29" s="46" t="s">
        <v>53</v>
      </c>
      <c r="I29" s="54">
        <v>67.5</v>
      </c>
      <c r="J29" s="46" t="s">
        <v>45</v>
      </c>
    </row>
    <row r="30" ht="17.25" customHeight="1">
      <c r="A30" s="44" t="str">
        <f>Inputs!B20</f>
        <v>Military Press</v>
      </c>
      <c r="B30" s="44" t="s">
        <v>44</v>
      </c>
      <c r="C30" s="54">
        <v>35.0</v>
      </c>
      <c r="D30" s="46" t="s">
        <v>54</v>
      </c>
      <c r="E30" s="54">
        <v>37.5</v>
      </c>
      <c r="F30" s="57" t="s">
        <v>110</v>
      </c>
      <c r="G30" s="54">
        <v>37.5</v>
      </c>
      <c r="H30" s="57" t="s">
        <v>111</v>
      </c>
      <c r="I30" s="54">
        <v>37.5</v>
      </c>
      <c r="J30" s="57" t="s">
        <v>116</v>
      </c>
    </row>
    <row r="31" ht="17.25" customHeight="1">
      <c r="A31" s="44" t="str">
        <f>Inputs!B21</f>
        <v>Weighted Pull-up</v>
      </c>
      <c r="B31" s="44" t="s">
        <v>44</v>
      </c>
      <c r="C31" s="54">
        <v>-45.0</v>
      </c>
      <c r="D31" s="46" t="s">
        <v>54</v>
      </c>
      <c r="E31" s="54">
        <v>-45.0</v>
      </c>
      <c r="F31" s="46" t="s">
        <v>54</v>
      </c>
      <c r="G31" s="54">
        <v>-50.0</v>
      </c>
      <c r="H31" s="57" t="s">
        <v>111</v>
      </c>
      <c r="I31" s="54">
        <v>-55.0</v>
      </c>
      <c r="J31" s="46" t="s">
        <v>53</v>
      </c>
    </row>
    <row r="32" ht="17.25" customHeight="1">
      <c r="A32" s="44" t="s">
        <v>49</v>
      </c>
      <c r="B32" s="44" t="s">
        <v>44</v>
      </c>
      <c r="C32" s="45"/>
      <c r="D32" s="46" t="s">
        <v>55</v>
      </c>
      <c r="E32" s="45"/>
      <c r="F32" s="46" t="s">
        <v>55</v>
      </c>
      <c r="G32" s="45"/>
      <c r="H32" s="46" t="s">
        <v>55</v>
      </c>
      <c r="I32" s="47"/>
      <c r="J32" s="49" t="s">
        <v>55</v>
      </c>
    </row>
    <row r="33" ht="17.25" customHeight="1">
      <c r="A33" s="50" t="s">
        <v>50</v>
      </c>
      <c r="B33" s="50" t="s">
        <v>44</v>
      </c>
      <c r="C33" s="51"/>
      <c r="D33" s="52" t="s">
        <v>55</v>
      </c>
      <c r="E33" s="51"/>
      <c r="F33" s="52" t="s">
        <v>55</v>
      </c>
      <c r="G33" s="51"/>
      <c r="H33" s="52" t="s">
        <v>55</v>
      </c>
      <c r="I33" s="55"/>
      <c r="J33" s="56" t="s">
        <v>55</v>
      </c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117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Inputs!B8+28</f>
        <v>46006</v>
      </c>
      <c r="B3" s="34" t="s">
        <v>51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39"/>
      <c r="E4" s="38" t="s">
        <v>41</v>
      </c>
      <c r="F4" s="39"/>
      <c r="G4" s="38" t="s">
        <v>42</v>
      </c>
      <c r="H4" s="39"/>
      <c r="I4" s="38" t="s">
        <v>43</v>
      </c>
      <c r="J4" s="39"/>
    </row>
    <row r="5" ht="17.25" customHeight="1">
      <c r="A5" s="40" t="s">
        <v>27</v>
      </c>
      <c r="B5" s="40" t="s">
        <v>44</v>
      </c>
      <c r="C5" s="41">
        <f>IF((Inputs!B11="kg"),MROUND((Inputs!B15*0.975),2.5),MROUND((Inputs!B15*0.975),5))</f>
        <v>100</v>
      </c>
      <c r="D5" s="42" t="s">
        <v>118</v>
      </c>
      <c r="E5" s="60"/>
      <c r="F5" s="61"/>
      <c r="G5" s="60"/>
      <c r="H5" s="61"/>
      <c r="I5" s="60"/>
      <c r="J5" s="61"/>
      <c r="K5" s="59" t="s">
        <v>119</v>
      </c>
    </row>
    <row r="6" ht="17.25" customHeight="1">
      <c r="A6" s="44" t="s">
        <v>28</v>
      </c>
      <c r="B6" s="44" t="s">
        <v>44</v>
      </c>
      <c r="C6" s="45">
        <f>IF((Inputs!B11="kg"),MROUND((Inputs!B16*0.675),2.5),MROUND((Inputs!B16*0.675),5))</f>
        <v>102.5</v>
      </c>
      <c r="D6" s="46" t="s">
        <v>120</v>
      </c>
      <c r="E6" s="45">
        <f>IF((Inputs!B11="kg"),MROUND((Inputs!B16*0.7),2.5),MROUND((Inputs!B16*0.7),5))</f>
        <v>105</v>
      </c>
      <c r="F6" s="46" t="s">
        <v>120</v>
      </c>
      <c r="G6" s="45">
        <f>IF((Inputs!B11="kg"),MROUND((Inputs!B16*0.725),2.5),MROUND((Inputs!B16*0.725),5))</f>
        <v>110</v>
      </c>
      <c r="H6" s="46" t="s">
        <v>121</v>
      </c>
      <c r="I6" s="47"/>
      <c r="J6" s="49"/>
    </row>
    <row r="7" ht="17.25" customHeight="1">
      <c r="A7" s="44" t="s">
        <v>122</v>
      </c>
      <c r="B7" s="44" t="s">
        <v>44</v>
      </c>
      <c r="C7" s="45"/>
      <c r="D7" s="46"/>
      <c r="E7" s="45"/>
      <c r="F7" s="46"/>
      <c r="G7" s="45"/>
      <c r="H7" s="46"/>
      <c r="I7" s="47"/>
      <c r="J7" s="49"/>
    </row>
    <row r="8" ht="17.25" customHeight="1">
      <c r="A8" s="50" t="s">
        <v>122</v>
      </c>
      <c r="B8" s="50" t="s">
        <v>44</v>
      </c>
      <c r="C8" s="51"/>
      <c r="D8" s="52"/>
      <c r="E8" s="51"/>
      <c r="F8" s="52"/>
      <c r="G8" s="51"/>
      <c r="H8" s="52"/>
      <c r="I8" s="55"/>
      <c r="J8" s="56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3">
        <f>A3+2</f>
        <v>46008</v>
      </c>
      <c r="B10" s="34" t="s">
        <v>51</v>
      </c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40</v>
      </c>
      <c r="D11" s="39"/>
      <c r="E11" s="38" t="s">
        <v>41</v>
      </c>
      <c r="F11" s="39"/>
      <c r="G11" s="38" t="s">
        <v>42</v>
      </c>
      <c r="H11" s="39"/>
      <c r="I11" s="38" t="s">
        <v>43</v>
      </c>
      <c r="J11" s="39"/>
    </row>
    <row r="12" ht="17.25" customHeight="1">
      <c r="A12" s="40" t="s">
        <v>26</v>
      </c>
      <c r="B12" s="40" t="s">
        <v>44</v>
      </c>
      <c r="C12" s="41">
        <f>IF((Inputs!B11="kg"),MROUND((Inputs!B14*0.975),2.5),MROUND((Inputs!B14*0.975),5))</f>
        <v>82.5</v>
      </c>
      <c r="D12" s="42" t="s">
        <v>118</v>
      </c>
      <c r="E12" s="60"/>
      <c r="F12" s="61"/>
      <c r="G12" s="75"/>
      <c r="H12" s="76"/>
      <c r="I12" s="60"/>
      <c r="J12" s="61"/>
      <c r="K12" s="59" t="s">
        <v>119</v>
      </c>
    </row>
    <row r="13" ht="17.25" customHeight="1">
      <c r="A13" s="44" t="str">
        <f>Inputs!B19</f>
        <v>Barbell Row</v>
      </c>
      <c r="B13" s="44" t="s">
        <v>44</v>
      </c>
      <c r="C13" s="54">
        <v>60.0</v>
      </c>
      <c r="D13" s="46" t="s">
        <v>53</v>
      </c>
      <c r="E13" s="54">
        <v>72.5</v>
      </c>
      <c r="F13" s="46" t="s">
        <v>45</v>
      </c>
      <c r="G13" s="54">
        <v>72.5</v>
      </c>
      <c r="H13" s="46" t="s">
        <v>45</v>
      </c>
      <c r="I13" s="47"/>
      <c r="J13" s="49"/>
    </row>
    <row r="14" ht="17.25" customHeight="1">
      <c r="A14" s="44" t="str">
        <f>Inputs!B20</f>
        <v>Military Press</v>
      </c>
      <c r="B14" s="44" t="s">
        <v>44</v>
      </c>
      <c r="C14" s="54">
        <v>35.0</v>
      </c>
      <c r="D14" s="46" t="s">
        <v>53</v>
      </c>
      <c r="E14" s="54">
        <v>40.0</v>
      </c>
      <c r="F14" s="46" t="s">
        <v>45</v>
      </c>
      <c r="G14" s="54">
        <v>45.0</v>
      </c>
      <c r="H14" s="46" t="s">
        <v>45</v>
      </c>
      <c r="I14" s="47"/>
      <c r="J14" s="49"/>
    </row>
    <row r="15" ht="17.25" customHeight="1">
      <c r="A15" s="44" t="str">
        <f>Inputs!B21</f>
        <v>Weighted Pull-up</v>
      </c>
      <c r="B15" s="44" t="s">
        <v>44</v>
      </c>
      <c r="C15" s="54">
        <v>-35.0</v>
      </c>
      <c r="D15" s="46" t="s">
        <v>53</v>
      </c>
      <c r="E15" s="54">
        <v>0.0</v>
      </c>
      <c r="F15" s="46" t="s">
        <v>45</v>
      </c>
      <c r="G15" s="54">
        <v>0.0</v>
      </c>
      <c r="H15" s="46" t="s">
        <v>45</v>
      </c>
      <c r="I15" s="47"/>
      <c r="J15" s="49"/>
    </row>
    <row r="16" ht="17.25" customHeight="1">
      <c r="A16" s="44" t="s">
        <v>49</v>
      </c>
      <c r="B16" s="44" t="s">
        <v>44</v>
      </c>
      <c r="C16" s="45"/>
      <c r="D16" s="46" t="s">
        <v>55</v>
      </c>
      <c r="E16" s="45"/>
      <c r="F16" s="46" t="s">
        <v>55</v>
      </c>
      <c r="G16" s="45"/>
      <c r="H16" s="46" t="s">
        <v>55</v>
      </c>
      <c r="I16" s="47"/>
      <c r="J16" s="49"/>
    </row>
    <row r="17" ht="17.25" customHeight="1">
      <c r="A17" s="50" t="s">
        <v>50</v>
      </c>
      <c r="B17" s="50" t="s">
        <v>44</v>
      </c>
      <c r="C17" s="51"/>
      <c r="D17" s="52" t="s">
        <v>55</v>
      </c>
      <c r="E17" s="51"/>
      <c r="F17" s="52" t="s">
        <v>55</v>
      </c>
      <c r="G17" s="51"/>
      <c r="H17" s="52" t="s">
        <v>55</v>
      </c>
      <c r="I17" s="55"/>
      <c r="J17" s="56"/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3">
        <f>A10+2</f>
        <v>46010</v>
      </c>
      <c r="B19" s="34" t="s">
        <v>51</v>
      </c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40</v>
      </c>
      <c r="D20" s="39"/>
      <c r="E20" s="38" t="s">
        <v>41</v>
      </c>
      <c r="F20" s="39"/>
      <c r="G20" s="38" t="s">
        <v>42</v>
      </c>
      <c r="H20" s="39"/>
      <c r="I20" s="38" t="s">
        <v>43</v>
      </c>
      <c r="J20" s="39"/>
    </row>
    <row r="21" ht="17.25" customHeight="1">
      <c r="A21" s="40" t="s">
        <v>28</v>
      </c>
      <c r="B21" s="40" t="s">
        <v>44</v>
      </c>
      <c r="C21" s="41">
        <f>IF((Inputs!B11="kg"),MROUND((Inputs!B16*0.975),2.5),MROUND((Inputs!B16*0.975),5))</f>
        <v>147.5</v>
      </c>
      <c r="D21" s="42" t="s">
        <v>118</v>
      </c>
      <c r="E21" s="60"/>
      <c r="F21" s="61"/>
      <c r="G21" s="60"/>
      <c r="H21" s="61"/>
      <c r="I21" s="60"/>
      <c r="J21" s="61"/>
      <c r="K21" s="59" t="s">
        <v>119</v>
      </c>
    </row>
    <row r="22" ht="17.25" customHeight="1">
      <c r="A22" s="44" t="s">
        <v>122</v>
      </c>
      <c r="B22" s="44" t="s">
        <v>44</v>
      </c>
      <c r="C22" s="45"/>
      <c r="D22" s="46"/>
      <c r="E22" s="45"/>
      <c r="F22" s="46"/>
      <c r="G22" s="45"/>
      <c r="H22" s="46"/>
      <c r="I22" s="47"/>
      <c r="J22" s="49"/>
    </row>
    <row r="23" ht="17.25" customHeight="1">
      <c r="A23" s="50" t="s">
        <v>122</v>
      </c>
      <c r="B23" s="50" t="s">
        <v>44</v>
      </c>
      <c r="C23" s="51"/>
      <c r="D23" s="52"/>
      <c r="E23" s="51"/>
      <c r="F23" s="52"/>
      <c r="G23" s="51"/>
      <c r="H23" s="52"/>
      <c r="I23" s="55"/>
      <c r="J23" s="56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38"/>
    <col customWidth="1" min="2" max="2" width="8.5"/>
    <col customWidth="1" min="3" max="3" width="10.38"/>
    <col customWidth="1" min="4" max="4" width="14.63"/>
    <col customWidth="1" min="5" max="10" width="8.5"/>
    <col customWidth="1" min="11" max="26" width="9.13"/>
  </cols>
  <sheetData>
    <row r="1" ht="24.75" customHeight="1">
      <c r="A1" s="9" t="s">
        <v>123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 t="s">
        <v>124</v>
      </c>
      <c r="B2" s="77"/>
      <c r="C2" s="77"/>
      <c r="D2" s="77"/>
      <c r="E2" s="77"/>
      <c r="F2" s="77"/>
      <c r="G2" s="77"/>
      <c r="H2" s="13"/>
      <c r="I2" s="13"/>
      <c r="J2" s="13"/>
    </row>
    <row r="3" ht="17.25" customHeight="1">
      <c r="A3" s="8" t="s">
        <v>125</v>
      </c>
      <c r="H3" s="8"/>
      <c r="I3" s="8"/>
      <c r="J3" s="8"/>
    </row>
    <row r="4" ht="17.25" customHeight="1">
      <c r="A4" s="8" t="s">
        <v>126</v>
      </c>
      <c r="G4" s="8"/>
      <c r="H4" s="8"/>
      <c r="I4" s="8"/>
      <c r="J4" s="8"/>
    </row>
    <row r="5" ht="17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7.25" customHeight="1">
      <c r="A6" s="8" t="s">
        <v>127</v>
      </c>
      <c r="C6" s="8"/>
      <c r="D6" s="8"/>
      <c r="E6" s="8"/>
      <c r="F6" s="8"/>
      <c r="G6" s="8"/>
      <c r="H6" s="8"/>
      <c r="I6" s="8"/>
      <c r="J6" s="8"/>
    </row>
    <row r="7" ht="17.25" customHeight="1">
      <c r="A7" s="8" t="s">
        <v>128</v>
      </c>
      <c r="H7" s="8"/>
      <c r="I7" s="8"/>
      <c r="J7" s="8"/>
    </row>
    <row r="8" ht="17.25" customHeight="1">
      <c r="A8" s="8"/>
      <c r="B8" s="8"/>
      <c r="C8" s="8"/>
      <c r="D8" s="8"/>
      <c r="E8" s="78"/>
      <c r="F8" s="31"/>
      <c r="G8" s="8"/>
      <c r="H8" s="8"/>
      <c r="I8" s="8"/>
      <c r="J8" s="8"/>
    </row>
    <row r="9" ht="17.25" customHeight="1">
      <c r="A9" s="79" t="s">
        <v>129</v>
      </c>
      <c r="B9" s="80"/>
      <c r="C9" s="80"/>
      <c r="D9" s="80"/>
      <c r="E9" s="81"/>
      <c r="F9" s="19"/>
      <c r="G9" s="8"/>
      <c r="H9" s="8"/>
      <c r="I9" s="8"/>
      <c r="J9" s="8"/>
    </row>
    <row r="10" ht="17.25" customHeight="1">
      <c r="A10" s="82"/>
      <c r="B10" s="83" t="s">
        <v>130</v>
      </c>
      <c r="C10" s="82" t="s">
        <v>131</v>
      </c>
      <c r="D10" s="83" t="s">
        <v>132</v>
      </c>
      <c r="E10" s="84"/>
      <c r="F10" s="19"/>
      <c r="G10" s="8"/>
      <c r="H10" s="8"/>
      <c r="I10" s="8"/>
      <c r="J10" s="8"/>
    </row>
    <row r="11" ht="17.25" customHeight="1">
      <c r="A11" s="44" t="s">
        <v>26</v>
      </c>
      <c r="B11" s="45">
        <f>Inputs!B14</f>
        <v>84.6</v>
      </c>
      <c r="C11" s="54">
        <v>90.0</v>
      </c>
      <c r="D11" s="85">
        <f t="shared" ref="D11:D13" si="1">C11-B11</f>
        <v>5.4</v>
      </c>
      <c r="E11" s="86"/>
      <c r="F11" s="8"/>
      <c r="G11" s="8"/>
      <c r="H11" s="8"/>
      <c r="I11" s="8"/>
      <c r="J11" s="8"/>
    </row>
    <row r="12" ht="17.25" customHeight="1">
      <c r="A12" s="44" t="s">
        <v>27</v>
      </c>
      <c r="B12" s="45">
        <f>Inputs!B15</f>
        <v>103.6</v>
      </c>
      <c r="C12" s="54">
        <v>109.1</v>
      </c>
      <c r="D12" s="87">
        <f t="shared" si="1"/>
        <v>5.5</v>
      </c>
      <c r="E12" s="86"/>
      <c r="F12" s="8"/>
      <c r="G12" s="8"/>
      <c r="H12" s="8"/>
      <c r="I12" s="8"/>
      <c r="J12" s="8"/>
    </row>
    <row r="13" ht="17.25" customHeight="1">
      <c r="A13" s="50" t="s">
        <v>28</v>
      </c>
      <c r="B13" s="51">
        <f>Inputs!B16</f>
        <v>150</v>
      </c>
      <c r="C13" s="88">
        <v>160.9</v>
      </c>
      <c r="D13" s="87">
        <f t="shared" si="1"/>
        <v>10.9</v>
      </c>
      <c r="E13" s="86"/>
      <c r="F13" s="8"/>
      <c r="G13" s="8"/>
      <c r="H13" s="8"/>
      <c r="I13" s="8"/>
      <c r="J13" s="8"/>
    </row>
    <row r="14" ht="17.25" customHeight="1">
      <c r="A14" s="13"/>
      <c r="B14" s="13"/>
      <c r="C14" s="13"/>
      <c r="D14" s="53"/>
      <c r="E14" s="8"/>
      <c r="F14" s="8"/>
      <c r="G14" s="8"/>
      <c r="H14" s="8"/>
      <c r="I14" s="8"/>
      <c r="J14" s="8"/>
    </row>
    <row r="15" ht="17.25" customHeight="1">
      <c r="A15" s="34" t="s">
        <v>133</v>
      </c>
      <c r="B15" s="8"/>
      <c r="C15" s="8"/>
      <c r="D15" s="34"/>
      <c r="E15" s="8"/>
      <c r="F15" s="8"/>
      <c r="G15" s="8"/>
      <c r="H15" s="8"/>
      <c r="I15" s="8"/>
      <c r="J15" s="8"/>
    </row>
    <row r="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7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7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7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7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7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7">
    <mergeCell ref="A1:J1"/>
    <mergeCell ref="A2:G2"/>
    <mergeCell ref="A3:G3"/>
    <mergeCell ref="A4:F4"/>
    <mergeCell ref="A6:B6"/>
    <mergeCell ref="A7:G7"/>
    <mergeCell ref="A9:D9"/>
  </mergeCells>
  <drawing r:id="rId1"/>
</worksheet>
</file>