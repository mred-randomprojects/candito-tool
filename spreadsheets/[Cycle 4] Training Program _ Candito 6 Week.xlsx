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Week 1 ✅" sheetId="2" r:id="rId5"/>
    <sheet state="visible" name="Week 2 ✅" sheetId="3" r:id="rId6"/>
    <sheet state="visible" name="Week 3 ✅" sheetId="4" r:id="rId7"/>
    <sheet state="visible" name="Week 4 ✅" sheetId="5" r:id="rId8"/>
    <sheet state="visible" name="Week 5" sheetId="6" r:id="rId9"/>
    <sheet state="visible" name="Week 6" sheetId="7" r:id="rId10"/>
  </sheets>
  <definedNames/>
  <calcPr/>
</workbook>
</file>

<file path=xl/sharedStrings.xml><?xml version="1.0" encoding="utf-8"?>
<sst xmlns="http://schemas.openxmlformats.org/spreadsheetml/2006/main" count="608" uniqueCount="149">
  <si>
    <t>To Save: File --&gt; Make a Copy | Thanks, liftvault.com</t>
  </si>
  <si>
    <t>Also available on the Boostcamp app</t>
  </si>
  <si>
    <t>Candito 6 Week Strength Program</t>
  </si>
  <si>
    <t>Options</t>
  </si>
  <si>
    <t>Weight</t>
  </si>
  <si>
    <t>Upper Back #1 (Horizontal pull)</t>
  </si>
  <si>
    <t>Shoulders</t>
  </si>
  <si>
    <t>Upper Back #2 (vertical pull)</t>
  </si>
  <si>
    <t>Complete the fields in blue, and excel will automatically formulate your workouts, each week is printable.</t>
  </si>
  <si>
    <t>kg</t>
  </si>
  <si>
    <t>Dumbbell Row</t>
  </si>
  <si>
    <t>Seated Dumbbell OHP</t>
  </si>
  <si>
    <t>Weighted Pull-up</t>
  </si>
  <si>
    <t>lb</t>
  </si>
  <si>
    <t>Barbell Row</t>
  </si>
  <si>
    <t>Standing Dumbbell OHP</t>
  </si>
  <si>
    <t>Weighted Chin-up</t>
  </si>
  <si>
    <t>What date do you want to start the Program?</t>
  </si>
  <si>
    <t>Machine Row</t>
  </si>
  <si>
    <t>Military Press</t>
  </si>
  <si>
    <t>Lat Pulldown</t>
  </si>
  <si>
    <t>Date</t>
  </si>
  <si>
    <t>Lateral Dumbell Raise</t>
  </si>
  <si>
    <t>Do you track your weights in kilograms or pounds?</t>
  </si>
  <si>
    <t>Weights in</t>
  </si>
  <si>
    <t>What are your 1RM's for the following lifts?</t>
  </si>
  <si>
    <t>Bench Press</t>
  </si>
  <si>
    <t>Squat</t>
  </si>
  <si>
    <t>Deadlift</t>
  </si>
  <si>
    <t>Choose Your Preferred Accessory Exercises</t>
  </si>
  <si>
    <t>Upper Back Exercise #1 (horizontal pull)</t>
  </si>
  <si>
    <t>Shoulder Exercise</t>
  </si>
  <si>
    <t>Upper Back Exercise #2 (vertical pull)</t>
  </si>
  <si>
    <t>Additional Information</t>
  </si>
  <si>
    <t>MR = Max Reps</t>
  </si>
  <si>
    <t>MR10 = Max Reps but no more than 10.</t>
  </si>
  <si>
    <t>Deadlift Variation = Stiff Legged DL, Snatch Grip DL, Deficit DL, or Pause DL.</t>
  </si>
  <si>
    <t>If you ever fail a required rep, reduce your max by 2.5%.</t>
  </si>
  <si>
    <t>Week 1 - Muscular Conditioning (W/ Moderate Difficulty)</t>
  </si>
  <si>
    <t>✅</t>
  </si>
  <si>
    <t>Set 1</t>
  </si>
  <si>
    <t>Set 2</t>
  </si>
  <si>
    <t>Set 3</t>
  </si>
  <si>
    <t>Set 4</t>
  </si>
  <si>
    <t>Warm Up</t>
  </si>
  <si>
    <t>x6 - did 6</t>
  </si>
  <si>
    <t>x6</t>
  </si>
  <si>
    <t>Optional Exercise 1</t>
  </si>
  <si>
    <t>Optional Exercise 2</t>
  </si>
  <si>
    <t>Bench Press (replaced, machine press, arghhhh)</t>
  </si>
  <si>
    <t>x10</t>
  </si>
  <si>
    <t>x8</t>
  </si>
  <si>
    <t>Did machine press, in each arm: 10kg @ 12, 20kg @ idk, 30 @ 10, 40 @ 10, 42.5 @ 7+1, 45kh @ 5+1</t>
  </si>
  <si>
    <t>SKIPPED</t>
  </si>
  <si>
    <t>x12</t>
  </si>
  <si>
    <t>x12 - did 10</t>
  </si>
  <si>
    <t>x10 - did 6</t>
  </si>
  <si>
    <t>x12 - did 8</t>
  </si>
  <si>
    <t>x12 - did 6</t>
  </si>
  <si>
    <t>x10 - did 3.5</t>
  </si>
  <si>
    <t>x8-12</t>
  </si>
  <si>
    <t>Did all, quite hard, felt fatigued from other day</t>
  </si>
  <si>
    <t>x10 - did 7</t>
  </si>
  <si>
    <t>x12 - did 7, quite strange actually…</t>
  </si>
  <si>
    <t>x10 - did 5 (changed place, the assisted one was uncomfortable)</t>
  </si>
  <si>
    <t>x8 - did</t>
  </si>
  <si>
    <t>x8 - did 4</t>
  </si>
  <si>
    <t>DONE, challenging at first but pushed through</t>
  </si>
  <si>
    <t>DONE</t>
  </si>
  <si>
    <t>xMR - did 9, got a bit scared but maybe couldve done one more, 1rm very close to 100kg</t>
  </si>
  <si>
    <t>x12 - did 5 o 6</t>
  </si>
  <si>
    <t>x10 - did 3 o 4</t>
  </si>
  <si>
    <t>x8 - did 3</t>
  </si>
  <si>
    <t>Week 2 - Muscular Conditioning/Hypertrophy (W/ Higher Difficulty)</t>
  </si>
  <si>
    <t>xMR10 - did 9</t>
  </si>
  <si>
    <t>Extra Volume Squats - Add 5 lbs or 2.5 kg if using kg plates, then perform 5 sets x 3 reps each set with 60 seconds rest between sets.</t>
  </si>
  <si>
    <t>Did all the extra sets with 90, not super hard, and respected the 1m rest, but felt my left knee a bit too much!</t>
  </si>
  <si>
    <t>Note - If you were not able to complete a minimum of 8 reps on the MR10 set, reduce max entered by 2.5% moving forward.</t>
  </si>
  <si>
    <t>Still complete the 5 sets of 3 reps regardless even if you do perform less than 8 reps on the MR10 set.</t>
  </si>
  <si>
    <t>Deadlift Variation</t>
  </si>
  <si>
    <t>x6-8 - did only 6 &gt;:(</t>
  </si>
  <si>
    <t>x10 - did all 10 wtf</t>
  </si>
  <si>
    <t>x8 - did 5.5</t>
  </si>
  <si>
    <t>xMR10 - did 8</t>
  </si>
  <si>
    <t>Back Off Squats - Reduce weight by 10 lbs or 5 kg if using kg plates.  Then proceed with the following:</t>
  </si>
  <si>
    <t>If you were able to complete 10 reps on the MR10 set, perform 10 sets of 3 reps per set, with 60 seconds rest between sets.</t>
  </si>
  <si>
    <t>If you completed 8-9 reps on the MR10 set, perform 8 sets of 3 reps per set, with 60 seconds rest between sets.</t>
  </si>
  <si>
    <t>If you completed 7 reps on the MR 10 set, perform 5 sets of 3 reps per set, with 60 seconds rest between sets.</t>
  </si>
  <si>
    <t>If you completed less than 7 reps, skip back off sets entirely and reduce your entered 1 rep max by at least 2.5% for following weeks.</t>
  </si>
  <si>
    <t>Stiff leg deadlift</t>
  </si>
  <si>
    <t>x8 - did 7+1</t>
  </si>
  <si>
    <t>x6-8 - did 5+2 after 40s pause</t>
  </si>
  <si>
    <t>x6 - did 5 + 1, two in the border of failure, nice</t>
  </si>
  <si>
    <t>x10 - did 9 + 1 attempt</t>
  </si>
  <si>
    <t>x6 - did 3-4</t>
  </si>
  <si>
    <t>xMR - 10 reps</t>
  </si>
  <si>
    <t>approx 100kg 1RM!</t>
  </si>
  <si>
    <t>x10 - did 10, LFG!</t>
  </si>
  <si>
    <t>x8 - did 7, alllllmost</t>
  </si>
  <si>
    <t>x6 - did 5 almost 6…</t>
  </si>
  <si>
    <t>Week 3 - Linear Max OT Phase</t>
  </si>
  <si>
    <t>x4-6 - did 6</t>
  </si>
  <si>
    <t>x4-6 - did 5</t>
  </si>
  <si>
    <t>x3-6 - did 3</t>
  </si>
  <si>
    <t>x3-6 - did 2 and failed one, then did one more, then did a kind of a drop set with 140</t>
  </si>
  <si>
    <t>No Accessory Lifts</t>
  </si>
  <si>
    <t>MOVED TO TUESDAY DUE TO VACATIONS</t>
  </si>
  <si>
    <t>x6 - did 5</t>
  </si>
  <si>
    <t>No Optional Exercises</t>
  </si>
  <si>
    <t>MOVED TO THURSDAY DUE TO VACATIONS</t>
  </si>
  <si>
    <t>MOVED TO FRIDAY DUE TO VACATIONS</t>
  </si>
  <si>
    <t>x4-6 - did 4+2 after 40s rest</t>
  </si>
  <si>
    <t>x6 - did 4</t>
  </si>
  <si>
    <t>x6 - did 4+1</t>
  </si>
  <si>
    <t>Did the neutral grip variant</t>
  </si>
  <si>
    <t>Week 4 - Heavy Weight Acclimation</t>
  </si>
  <si>
    <t>x3</t>
  </si>
  <si>
    <t>Did 3 in all of them, after a 1 week vacation in Brazil!</t>
  </si>
  <si>
    <t>x3 - did 80kg instead, 3 reps</t>
  </si>
  <si>
    <t>x10 - did 8</t>
  </si>
  <si>
    <t>x8 - did 7 + 1</t>
  </si>
  <si>
    <t>x12 - did 7</t>
  </si>
  <si>
    <t>x3 - did 3</t>
  </si>
  <si>
    <t>x1-2 - did 2</t>
  </si>
  <si>
    <t>POSTPONED TO SUNDAY IN A DIFFERENT GYM DUE TO MEETING WITH NOE - ENDED UP DOING IT ON NEXT MONDAY!</t>
  </si>
  <si>
    <t>x2-4 - did 4</t>
  </si>
  <si>
    <t>x10 - did 12</t>
  </si>
  <si>
    <t>x8 - did 7</t>
  </si>
  <si>
    <t>3 min rest except for the last one…</t>
  </si>
  <si>
    <t>x12 - did 5 almost 6</t>
  </si>
  <si>
    <t>x10 - did 3 tried 4</t>
  </si>
  <si>
    <t>90s rest</t>
  </si>
  <si>
    <t>Week 5 - High Intensity Strength</t>
  </si>
  <si>
    <t>Re-scheduled for TUESDAY instead!</t>
  </si>
  <si>
    <t>x1-4</t>
  </si>
  <si>
    <t>x4</t>
  </si>
  <si>
    <t>x2</t>
  </si>
  <si>
    <t>Optional Lower Body</t>
  </si>
  <si>
    <t>For Week 6 You Have 3 Options</t>
  </si>
  <si>
    <t>1.  Skip Week 6.  Just use projected one rep max from last week's 1-4 rep set.  Start next cycle.</t>
  </si>
  <si>
    <t>2.  Use projected max for next cycle, but take a deload week (repeat week 1 but skip last upper workout).</t>
  </si>
  <si>
    <t>3.  Take this 6th week to actually find your 1 rep max.  Then either deload or start new cycle.</t>
  </si>
  <si>
    <t>Determining Projected Max</t>
  </si>
  <si>
    <t>Take what you lifted in week 5, and multiply by 1.03 if you completed 2 reps, 1.06 if 3 reps, and 1.09 if 4 reps.</t>
  </si>
  <si>
    <t>Enter your new 1RM's below to see your progress!</t>
  </si>
  <si>
    <t>Old 1RM</t>
  </si>
  <si>
    <t>New 1RM</t>
  </si>
  <si>
    <t>Increase</t>
  </si>
  <si>
    <t>NOTE: This whole training I changed the order of upper body training, I always did the dumbbell rows last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</si>
</sst>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ddd\,\ mmmm\ d\,\ yy"/>
    <numFmt numFmtId="166" formatCode="#,##0.###############"/>
  </numFmts>
  <fonts count="9">
    <font>
      <sz val="10.0"/>
      <color rgb="FF000000"/>
      <name val="Arial"/>
    </font>
    <font>
      <b/>
      <color rgb="FFFFFFFF"/>
      <name val="Arial"/>
    </font>
    <font/>
    <font>
      <name val="Arial"/>
    </font>
    <font>
      <u/>
      <sz val="10.0"/>
      <color rgb="FF1155CC"/>
      <name val="Arial"/>
    </font>
    <font>
      <b/>
      <sz val="14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70C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0" fontId="6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shrinkToFit="0" vertical="center" wrapText="0"/>
    </xf>
    <xf borderId="6" fillId="0" fontId="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7" fillId="0" fontId="6" numFmtId="0" xfId="0" applyAlignment="1" applyBorder="1" applyFont="1">
      <alignment horizontal="center" shrinkToFit="0" vertical="center" wrapText="0"/>
    </xf>
    <xf borderId="8" fillId="0" fontId="6" numFmtId="164" xfId="0" applyAlignment="1" applyBorder="1" applyFont="1" applyNumberFormat="1">
      <alignment shrinkToFit="0" vertical="center" wrapText="0"/>
    </xf>
    <xf borderId="9" fillId="0" fontId="8" numFmtId="165" xfId="0" applyAlignment="1" applyBorder="1" applyFont="1" applyNumberFormat="1">
      <alignment horizontal="center" readingOrder="0" shrinkToFit="0" vertical="center" wrapText="0"/>
    </xf>
    <xf borderId="5" fillId="0" fontId="6" numFmtId="0" xfId="0" applyAlignment="1" applyBorder="1" applyFont="1">
      <alignment shrinkToFit="0" vertical="center" wrapText="0"/>
    </xf>
    <xf borderId="0" fillId="0" fontId="6" numFmtId="164" xfId="0" applyAlignment="1" applyFont="1" applyNumberFormat="1">
      <alignment shrinkToFit="0" vertical="center" wrapText="0"/>
    </xf>
    <xf borderId="6" fillId="0" fontId="8" numFmtId="164" xfId="0" applyAlignment="1" applyBorder="1" applyFont="1" applyNumberFormat="1">
      <alignment horizontal="center" shrinkToFit="0" vertical="center" wrapText="0"/>
    </xf>
    <xf borderId="0" fillId="0" fontId="7" numFmtId="164" xfId="0" applyAlignment="1" applyFont="1" applyNumberFormat="1">
      <alignment shrinkToFit="0" vertical="center" wrapText="0"/>
    </xf>
    <xf borderId="7" fillId="0" fontId="8" numFmtId="164" xfId="0" applyAlignment="1" applyBorder="1" applyFont="1" applyNumberFormat="1">
      <alignment horizontal="center" shrinkToFit="0" vertical="center" wrapText="0"/>
    </xf>
    <xf borderId="9" fillId="0" fontId="8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left" shrinkToFit="0" vertical="center" wrapText="0"/>
    </xf>
    <xf borderId="8" fillId="0" fontId="6" numFmtId="0" xfId="0" applyAlignment="1" applyBorder="1" applyFont="1">
      <alignment shrinkToFit="0" vertical="center" wrapText="0"/>
    </xf>
    <xf borderId="5" fillId="0" fontId="6" numFmtId="164" xfId="0" applyAlignment="1" applyBorder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10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shrinkToFit="0" vertical="center" wrapText="0"/>
    </xf>
    <xf borderId="12" fillId="0" fontId="8" numFmtId="0" xfId="0" applyAlignment="1" applyBorder="1" applyFont="1">
      <alignment horizontal="center" readingOrder="0" shrinkToFit="0" vertical="center" wrapText="0"/>
    </xf>
    <xf borderId="13" fillId="0" fontId="6" numFmtId="0" xfId="0" applyAlignment="1" applyBorder="1" applyFont="1">
      <alignment shrinkToFit="0" vertical="center" wrapText="0"/>
    </xf>
    <xf borderId="12" fillId="0" fontId="8" numFmtId="0" xfId="0" applyAlignment="1" applyBorder="1" applyFont="1">
      <alignment horizontal="center" shrinkToFit="0" vertical="center" wrapText="0"/>
    </xf>
    <xf borderId="14" fillId="0" fontId="6" numFmtId="0" xfId="0" applyAlignment="1" applyBorder="1" applyFont="1">
      <alignment horizontal="center" shrinkToFit="0" vertical="center" wrapText="0"/>
    </xf>
    <xf borderId="0" fillId="0" fontId="7" numFmtId="165" xfId="0" applyAlignment="1" applyFont="1" applyNumberFormat="1">
      <alignment shrinkToFit="0" vertical="center" wrapText="0"/>
    </xf>
    <xf borderId="7" fillId="0" fontId="6" numFmtId="0" xfId="0" applyAlignment="1" applyBorder="1" applyFont="1">
      <alignment shrinkToFit="0" vertical="center" wrapText="0"/>
    </xf>
    <xf borderId="7" fillId="0" fontId="6" numFmtId="164" xfId="0" applyAlignment="1" applyBorder="1" applyFont="1" applyNumberFormat="1">
      <alignment shrinkToFit="0" vertical="center" wrapText="0"/>
    </xf>
    <xf borderId="15" fillId="0" fontId="6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shrinkToFit="0" vertical="center" wrapText="0"/>
    </xf>
    <xf borderId="16" fillId="0" fontId="6" numFmtId="0" xfId="0" applyAlignment="1" applyBorder="1" applyFont="1">
      <alignment shrinkToFit="0" vertical="center" wrapText="0"/>
    </xf>
    <xf borderId="17" fillId="0" fontId="6" numFmtId="0" xfId="0" applyAlignment="1" applyBorder="1" applyFont="1">
      <alignment shrinkToFit="0" vertical="center" wrapText="0"/>
    </xf>
    <xf borderId="18" fillId="0" fontId="6" numFmtId="0" xfId="0" applyAlignment="1" applyBorder="1" applyFont="1">
      <alignment readingOrder="0" shrinkToFit="0" vertical="center" wrapText="0"/>
    </xf>
    <xf borderId="18" fillId="0" fontId="6" numFmtId="0" xfId="0" applyAlignment="1" applyBorder="1" applyFont="1">
      <alignment shrinkToFit="0" vertical="center" wrapText="0"/>
    </xf>
    <xf borderId="19" fillId="0" fontId="6" numFmtId="0" xfId="0" applyAlignment="1" applyBorder="1" applyFont="1">
      <alignment shrinkToFit="0" vertical="center" wrapText="0"/>
    </xf>
    <xf borderId="20" fillId="0" fontId="6" numFmtId="0" xfId="0" applyAlignment="1" applyBorder="1" applyFont="1">
      <alignment shrinkToFit="0" vertical="center" wrapText="0"/>
    </xf>
    <xf borderId="21" fillId="0" fontId="6" numFmtId="0" xfId="0" applyAlignment="1" applyBorder="1" applyFont="1">
      <alignment readingOrder="0" shrinkToFit="0" vertical="center" wrapText="0"/>
    </xf>
    <xf borderId="20" fillId="3" fontId="6" numFmtId="0" xfId="0" applyAlignment="1" applyBorder="1" applyFill="1" applyFont="1">
      <alignment shrinkToFit="0" vertical="center" wrapText="0"/>
    </xf>
    <xf borderId="21" fillId="3" fontId="6" numFmtId="0" xfId="0" applyAlignment="1" applyBorder="1" applyFont="1">
      <alignment shrinkToFit="0" vertical="center" wrapText="0"/>
    </xf>
    <xf borderId="21" fillId="0" fontId="6" numFmtId="0" xfId="0" applyAlignment="1" applyBorder="1" applyFont="1">
      <alignment shrinkToFit="0" vertical="center" wrapText="0"/>
    </xf>
    <xf borderId="22" fillId="0" fontId="6" numFmtId="0" xfId="0" applyAlignment="1" applyBorder="1" applyFont="1">
      <alignment shrinkToFit="0" vertical="center" wrapText="0"/>
    </xf>
    <xf borderId="23" fillId="0" fontId="6" numFmtId="0" xfId="0" applyAlignment="1" applyBorder="1" applyFont="1">
      <alignment shrinkToFit="0" vertical="center" wrapText="0"/>
    </xf>
    <xf borderId="24" fillId="0" fontId="6" numFmtId="0" xfId="0" applyAlignment="1" applyBorder="1" applyFont="1">
      <alignment shrinkToFit="0" vertical="center" wrapText="0"/>
    </xf>
    <xf borderId="14" fillId="0" fontId="6" numFmtId="0" xfId="0" applyAlignment="1" applyBorder="1" applyFont="1">
      <alignment shrinkToFit="0" vertical="center" wrapText="0"/>
    </xf>
    <xf borderId="16" fillId="0" fontId="6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wrapText="1"/>
    </xf>
    <xf borderId="20" fillId="0" fontId="6" numFmtId="0" xfId="0" applyAlignment="1" applyBorder="1" applyFont="1">
      <alignment readingOrder="0" shrinkToFit="0" vertical="center" wrapText="0"/>
    </xf>
    <xf borderId="23" fillId="3" fontId="6" numFmtId="0" xfId="0" applyAlignment="1" applyBorder="1" applyFont="1">
      <alignment shrinkToFit="0" vertical="center" wrapText="0"/>
    </xf>
    <xf borderId="24" fillId="3" fontId="6" numFmtId="0" xfId="0" applyAlignment="1" applyBorder="1" applyFont="1">
      <alignment shrinkToFit="0" vertical="center" wrapText="0"/>
    </xf>
    <xf borderId="21" fillId="3" fontId="6" numFmtId="0" xfId="0" applyAlignment="1" applyBorder="1" applyFont="1">
      <alignment readingOrder="0" shrinkToFit="0" vertical="center" wrapText="0"/>
    </xf>
    <xf borderId="17" fillId="3" fontId="6" numFmtId="0" xfId="0" applyAlignment="1" applyBorder="1" applyFont="1">
      <alignment shrinkToFit="0" vertical="center" wrapText="0"/>
    </xf>
    <xf borderId="18" fillId="3" fontId="6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shrinkToFit="0" vertical="center" wrapText="0"/>
    </xf>
    <xf borderId="25" fillId="3" fontId="6" numFmtId="0" xfId="0" applyAlignment="1" applyBorder="1" applyFont="1">
      <alignment shrinkToFit="0" vertical="center" wrapText="0"/>
    </xf>
    <xf borderId="26" fillId="0" fontId="0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28" fillId="0" fontId="2" numFmtId="0" xfId="0" applyAlignment="1" applyBorder="1" applyFont="1">
      <alignment shrinkToFit="0" wrapText="1"/>
    </xf>
    <xf borderId="29" fillId="3" fontId="6" numFmtId="0" xfId="0" applyAlignment="1" applyBorder="1" applyFont="1">
      <alignment shrinkToFit="0" vertical="center" wrapText="0"/>
    </xf>
    <xf borderId="30" fillId="3" fontId="6" numFmtId="0" xfId="0" applyAlignment="1" applyBorder="1" applyFont="1">
      <alignment shrinkToFit="0" vertical="center" wrapText="0"/>
    </xf>
    <xf borderId="7" fillId="0" fontId="6" numFmtId="0" xfId="0" applyAlignment="1" applyBorder="1" applyFont="1">
      <alignment readingOrder="0" shrinkToFit="0" vertical="center" wrapText="0"/>
    </xf>
    <xf borderId="26" fillId="0" fontId="6" numFmtId="0" xfId="0" applyAlignment="1" applyBorder="1" applyFont="1">
      <alignment shrinkToFit="0" vertical="center" wrapText="0"/>
    </xf>
    <xf borderId="22" fillId="3" fontId="6" numFmtId="0" xfId="0" applyAlignment="1" applyBorder="1" applyFont="1">
      <alignment shrinkToFit="0" vertical="center" wrapText="0"/>
    </xf>
    <xf borderId="7" fillId="0" fontId="0" numFmtId="0" xfId="0" applyAlignment="1" applyBorder="1" applyFont="1">
      <alignment readingOrder="0" shrinkToFit="0" wrapText="1"/>
    </xf>
    <xf borderId="7" fillId="0" fontId="0" numFmtId="0" xfId="0" applyAlignment="1" applyBorder="1" applyFont="1">
      <alignment shrinkToFit="0" wrapText="1"/>
    </xf>
    <xf borderId="17" fillId="4" fontId="6" numFmtId="0" xfId="0" applyAlignment="1" applyBorder="1" applyFill="1" applyFont="1">
      <alignment shrinkToFit="0" vertical="center" wrapText="0"/>
    </xf>
    <xf borderId="18" fillId="4" fontId="6" numFmtId="0" xfId="0" applyAlignment="1" applyBorder="1" applyFont="1">
      <alignment shrinkToFit="0" vertical="center" wrapText="0"/>
    </xf>
    <xf borderId="19" fillId="0" fontId="6" numFmtId="0" xfId="0" applyAlignment="1" applyBorder="1" applyFont="1">
      <alignment readingOrder="0" shrinkToFit="0" vertical="center" wrapText="0"/>
    </xf>
    <xf borderId="31" fillId="3" fontId="0" numFmtId="0" xfId="0" applyAlignment="1" applyBorder="1" applyFont="1">
      <alignment shrinkToFit="0" wrapText="1"/>
    </xf>
    <xf borderId="32" fillId="3" fontId="0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11" fillId="0" fontId="0" numFmtId="0" xfId="0" applyAlignment="1" applyBorder="1" applyFont="1">
      <alignment shrinkToFit="0" wrapText="1"/>
    </xf>
    <xf borderId="10" fillId="0" fontId="6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wrapText="1"/>
    </xf>
    <xf borderId="8" fillId="0" fontId="0" numFmtId="0" xfId="0" applyAlignment="1" applyBorder="1" applyFont="1">
      <alignment shrinkToFit="0" wrapText="1"/>
    </xf>
    <xf borderId="12" fillId="0" fontId="6" numFmtId="0" xfId="0" applyAlignment="1" applyBorder="1" applyFont="1">
      <alignment shrinkToFit="0" vertical="center" wrapText="0"/>
    </xf>
    <xf borderId="12" fillId="0" fontId="6" numFmtId="0" xfId="0" applyAlignment="1" applyBorder="1" applyFont="1">
      <alignment horizontal="center" shrinkToFit="0" vertical="center" wrapText="0"/>
    </xf>
    <xf borderId="33" fillId="0" fontId="0" numFmtId="0" xfId="0" applyAlignment="1" applyBorder="1" applyFont="1">
      <alignment shrinkToFit="0" wrapText="1"/>
    </xf>
    <xf borderId="12" fillId="0" fontId="8" numFmtId="0" xfId="0" applyAlignment="1" applyBorder="1" applyFont="1">
      <alignment shrinkToFit="0" vertical="center" wrapText="0"/>
    </xf>
    <xf borderId="12" fillId="0" fontId="0" numFmtId="166" xfId="0" applyAlignment="1" applyBorder="1" applyFont="1" applyNumberFormat="1">
      <alignment shrinkToFit="0" wrapText="1"/>
    </xf>
    <xf borderId="34" fillId="0" fontId="6" numFmtId="0" xfId="0" applyAlignment="1" applyBorder="1" applyFont="1">
      <alignment shrinkToFit="0" vertical="center" wrapText="0"/>
    </xf>
    <xf borderId="13" fillId="0" fontId="0" numFmtId="0" xfId="0" applyAlignment="1" applyBorder="1" applyFont="1">
      <alignment shrinkToFit="0" wrapText="1"/>
    </xf>
    <xf borderId="35" fillId="0" fontId="8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oostcamp.app/candito-six-week-program?utm_source=liftvault&amp;utm_medium=spreadsheet&amp;utm_campaign=vaul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8.13"/>
    <col customWidth="1" min="2" max="2" width="21.38"/>
    <col customWidth="1" min="3" max="10" width="8.5"/>
    <col customWidth="1" hidden="1" min="11" max="14" width="20.63"/>
    <col customWidth="1" min="15" max="27" width="9.13"/>
  </cols>
  <sheetData>
    <row r="1" ht="17.25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4.75" customHeight="1">
      <c r="A2" s="5" t="s">
        <v>1</v>
      </c>
      <c r="B2" s="6"/>
      <c r="C2" s="6"/>
      <c r="D2" s="6"/>
      <c r="E2" s="6"/>
      <c r="F2" s="6"/>
      <c r="G2" s="6"/>
      <c r="H2" s="6"/>
      <c r="I2" s="7"/>
      <c r="J2" s="8"/>
      <c r="K2" s="8"/>
      <c r="L2" s="8"/>
      <c r="M2" s="8"/>
      <c r="N2" s="8"/>
    </row>
    <row r="3" ht="24.75" customHeight="1">
      <c r="A3" s="9" t="s">
        <v>2</v>
      </c>
      <c r="B3" s="10"/>
      <c r="C3" s="10"/>
      <c r="D3" s="10"/>
      <c r="E3" s="10"/>
      <c r="F3" s="10"/>
      <c r="G3" s="10"/>
      <c r="H3" s="11"/>
      <c r="I3" s="12"/>
      <c r="J3" s="8"/>
      <c r="K3" s="8" t="s">
        <v>3</v>
      </c>
      <c r="L3" s="8"/>
      <c r="M3" s="8"/>
      <c r="N3" s="8"/>
    </row>
    <row r="4" ht="17.25" customHeight="1">
      <c r="A4" s="13"/>
      <c r="B4" s="14"/>
      <c r="C4" s="13"/>
      <c r="D4" s="13"/>
      <c r="E4" s="13"/>
      <c r="F4" s="13"/>
      <c r="G4" s="13"/>
      <c r="H4" s="13"/>
      <c r="I4" s="8"/>
      <c r="J4" s="8"/>
      <c r="K4" s="8" t="s">
        <v>4</v>
      </c>
      <c r="L4" s="8" t="s">
        <v>5</v>
      </c>
      <c r="M4" s="8" t="s">
        <v>6</v>
      </c>
      <c r="N4" s="8" t="s">
        <v>7</v>
      </c>
    </row>
    <row r="5" ht="17.25" customHeight="1">
      <c r="A5" s="8" t="s">
        <v>8</v>
      </c>
      <c r="D5" s="8"/>
      <c r="E5" s="8"/>
      <c r="F5" s="8"/>
      <c r="G5" s="8"/>
      <c r="H5" s="8"/>
      <c r="I5" s="8"/>
      <c r="J5" s="8"/>
      <c r="K5" s="8" t="s">
        <v>9</v>
      </c>
      <c r="L5" s="8" t="s">
        <v>10</v>
      </c>
      <c r="M5" s="8" t="s">
        <v>11</v>
      </c>
      <c r="N5" s="8" t="s">
        <v>12</v>
      </c>
    </row>
    <row r="6" ht="17.25" customHeight="1">
      <c r="A6" s="8"/>
      <c r="B6" s="7"/>
      <c r="C6" s="8"/>
      <c r="D6" s="8"/>
      <c r="E6" s="8"/>
      <c r="F6" s="8"/>
      <c r="G6" s="8"/>
      <c r="H6" s="8"/>
      <c r="I6" s="8"/>
      <c r="J6" s="8"/>
      <c r="K6" s="8" t="s">
        <v>13</v>
      </c>
      <c r="L6" s="8" t="s">
        <v>14</v>
      </c>
      <c r="M6" s="8" t="s">
        <v>15</v>
      </c>
      <c r="N6" s="8" t="s">
        <v>16</v>
      </c>
    </row>
    <row r="7" ht="17.25" customHeight="1">
      <c r="A7" s="15" t="s">
        <v>17</v>
      </c>
      <c r="B7" s="16"/>
      <c r="C7" s="8"/>
      <c r="D7" s="8"/>
      <c r="E7" s="8"/>
      <c r="F7" s="8"/>
      <c r="G7" s="8"/>
      <c r="H7" s="8"/>
      <c r="I7" s="8"/>
      <c r="J7" s="8"/>
      <c r="K7" s="8"/>
      <c r="L7" s="8" t="s">
        <v>18</v>
      </c>
      <c r="M7" s="8" t="s">
        <v>19</v>
      </c>
      <c r="N7" s="8" t="s">
        <v>20</v>
      </c>
    </row>
    <row r="8" ht="17.25" customHeight="1">
      <c r="A8" s="17" t="s">
        <v>21</v>
      </c>
      <c r="B8" s="18">
        <v>46055.0</v>
      </c>
      <c r="C8" s="19"/>
      <c r="D8" s="8"/>
      <c r="E8" s="15"/>
      <c r="F8" s="7"/>
      <c r="G8" s="8"/>
      <c r="H8" s="8"/>
      <c r="I8" s="8"/>
      <c r="J8" s="8"/>
      <c r="K8" s="8"/>
      <c r="L8" s="8"/>
      <c r="M8" s="8" t="s">
        <v>22</v>
      </c>
      <c r="N8" s="8"/>
    </row>
    <row r="9" ht="17.25" customHeight="1">
      <c r="A9" s="20"/>
      <c r="B9" s="21"/>
      <c r="C9" s="8"/>
      <c r="D9" s="8"/>
      <c r="E9" s="8"/>
      <c r="F9" s="7"/>
      <c r="G9" s="8"/>
      <c r="H9" s="8"/>
      <c r="I9" s="8"/>
      <c r="J9" s="8"/>
      <c r="K9" s="8"/>
      <c r="L9" s="8"/>
      <c r="M9" s="8"/>
      <c r="N9" s="8"/>
    </row>
    <row r="10" ht="17.25" customHeight="1">
      <c r="A10" s="22" t="s">
        <v>23</v>
      </c>
      <c r="B10" s="23"/>
      <c r="C10" s="8"/>
      <c r="D10" s="8"/>
      <c r="E10" s="8"/>
      <c r="F10" s="7"/>
      <c r="G10" s="8"/>
      <c r="H10" s="8"/>
      <c r="I10" s="8"/>
      <c r="J10" s="8"/>
      <c r="K10" s="8"/>
      <c r="L10" s="8"/>
      <c r="M10" s="8"/>
      <c r="N10" s="8"/>
    </row>
    <row r="11" ht="17.25" customHeight="1">
      <c r="A11" s="17" t="s">
        <v>24</v>
      </c>
      <c r="B11" s="24" t="s">
        <v>9</v>
      </c>
      <c r="C11" s="19"/>
      <c r="D11" s="8"/>
      <c r="E11" s="8"/>
      <c r="F11" s="7"/>
      <c r="G11" s="8"/>
      <c r="H11" s="8"/>
      <c r="I11" s="8"/>
      <c r="J11" s="8"/>
      <c r="K11" s="8"/>
      <c r="L11" s="8"/>
      <c r="M11" s="8"/>
      <c r="N11" s="8"/>
    </row>
    <row r="12" ht="17.25" customHeight="1">
      <c r="A12" s="20"/>
      <c r="B12" s="14"/>
      <c r="C12" s="8"/>
      <c r="D12" s="8"/>
      <c r="E12" s="25"/>
      <c r="F12" s="25"/>
      <c r="G12" s="8"/>
      <c r="H12" s="8"/>
      <c r="I12" s="8"/>
      <c r="J12" s="8"/>
      <c r="K12" s="8"/>
      <c r="L12" s="8"/>
      <c r="M12" s="8"/>
      <c r="N12" s="8"/>
    </row>
    <row r="13" ht="17.25" customHeight="1">
      <c r="A13" s="15" t="s">
        <v>25</v>
      </c>
      <c r="B13" s="1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ht="17.25" customHeight="1">
      <c r="A14" s="26" t="s">
        <v>26</v>
      </c>
      <c r="B14" s="24">
        <v>95.5</v>
      </c>
      <c r="C14" s="27" t="str">
        <f>B11</f>
        <v>kg</v>
      </c>
      <c r="D14" s="2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ht="17.25" customHeight="1">
      <c r="A15" s="26" t="s">
        <v>27</v>
      </c>
      <c r="B15" s="24">
        <v>109.1</v>
      </c>
      <c r="C15" s="27" t="str">
        <f>B11</f>
        <v>kg</v>
      </c>
      <c r="D15" s="2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ht="17.25" customHeight="1">
      <c r="A16" s="26" t="s">
        <v>28</v>
      </c>
      <c r="B16" s="24">
        <v>166.8</v>
      </c>
      <c r="C16" s="27" t="str">
        <f>B11</f>
        <v>kg</v>
      </c>
      <c r="D16" s="2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ht="17.25" customHeight="1">
      <c r="A17" s="8"/>
      <c r="B17" s="14"/>
      <c r="C17" s="8"/>
      <c r="D17" s="8"/>
      <c r="E17" s="15"/>
      <c r="F17" s="15"/>
      <c r="G17" s="8"/>
      <c r="H17" s="8"/>
      <c r="I17" s="8"/>
      <c r="J17" s="8"/>
      <c r="K17" s="8"/>
      <c r="L17" s="8"/>
      <c r="M17" s="8"/>
      <c r="N17" s="8"/>
    </row>
    <row r="18" ht="17.25" customHeight="1">
      <c r="A18" s="15" t="s">
        <v>29</v>
      </c>
      <c r="B18" s="2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ht="17.25" customHeight="1">
      <c r="A19" s="30" t="s">
        <v>30</v>
      </c>
      <c r="B19" s="31" t="s">
        <v>10</v>
      </c>
      <c r="C19" s="3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ht="17.25" customHeight="1">
      <c r="A20" s="30" t="s">
        <v>31</v>
      </c>
      <c r="B20" s="33" t="s">
        <v>19</v>
      </c>
      <c r="C20" s="3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ht="17.25" customHeight="1">
      <c r="A21" s="30" t="s">
        <v>32</v>
      </c>
      <c r="B21" s="33" t="s">
        <v>12</v>
      </c>
      <c r="C21" s="3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ht="17.25" customHeight="1">
      <c r="A22" s="8"/>
      <c r="B22" s="34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ht="18.0" customHeight="1">
      <c r="A23" s="15" t="s">
        <v>33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ht="17.25" customHeight="1">
      <c r="A24" s="8" t="s">
        <v>34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ht="18.0" customHeight="1">
      <c r="A25" s="8" t="s">
        <v>35</v>
      </c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8.0" customHeight="1">
      <c r="A26" s="8" t="s">
        <v>36</v>
      </c>
      <c r="G26" s="8"/>
      <c r="H26" s="8"/>
      <c r="I26" s="8"/>
      <c r="J26" s="8"/>
      <c r="K26" s="8"/>
      <c r="L26" s="8"/>
      <c r="M26" s="8"/>
      <c r="N26" s="8"/>
    </row>
    <row r="27" ht="18.0" customHeight="1">
      <c r="A27" s="8" t="s">
        <v>37</v>
      </c>
      <c r="F27" s="8"/>
      <c r="G27" s="8"/>
      <c r="H27" s="8"/>
      <c r="I27" s="8"/>
      <c r="J27" s="8"/>
      <c r="K27" s="8"/>
      <c r="L27" s="8"/>
      <c r="M27" s="8"/>
      <c r="N27" s="8"/>
    </row>
    <row r="28" ht="17.25" customHeight="1">
      <c r="A28" s="8"/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ht="17.25" customHeight="1">
      <c r="A29" s="8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ht="17.25" customHeight="1">
      <c r="A30" s="8"/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ht="17.25" customHeight="1">
      <c r="A31" s="8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ht="17.25" customHeight="1">
      <c r="A32" s="8"/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ht="17.25" customHeight="1">
      <c r="A33" s="8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ht="17.25" customHeight="1">
      <c r="A34" s="8"/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ht="17.25" customHeight="1">
      <c r="A35" s="8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ht="17.25" customHeight="1">
      <c r="A36" s="8"/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ht="17.25" customHeight="1">
      <c r="A37" s="8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ht="17.25" customHeight="1">
      <c r="A38" s="8"/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ht="17.25" customHeight="1">
      <c r="A39" s="8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ht="17.25" customHeight="1">
      <c r="A40" s="8"/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ht="17.25" customHeight="1">
      <c r="A41" s="8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ht="17.25" customHeight="1">
      <c r="A42" s="8"/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ht="17.25" customHeight="1">
      <c r="A43" s="8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ht="17.25" customHeight="1">
      <c r="A44" s="8"/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ht="17.25" customHeight="1">
      <c r="A45" s="8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ht="17.25" customHeight="1">
      <c r="A46" s="8"/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ht="17.25" customHeight="1">
      <c r="A47" s="8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ht="17.25" customHeight="1">
      <c r="A48" s="8"/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ht="17.25" customHeight="1">
      <c r="A49" s="8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ht="17.25" customHeight="1">
      <c r="A50" s="8"/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ht="17.25" customHeight="1">
      <c r="A51" s="8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ht="17.25" customHeight="1">
      <c r="A52" s="8"/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ht="17.25" customHeight="1">
      <c r="A53" s="8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ht="17.25" customHeight="1">
      <c r="A54" s="8"/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ht="17.25" customHeight="1">
      <c r="A55" s="8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ht="17.25" customHeight="1">
      <c r="A56" s="8"/>
      <c r="B56" s="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ht="17.25" customHeight="1">
      <c r="A57" s="8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ht="17.25" customHeight="1">
      <c r="A58" s="8"/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ht="17.25" customHeight="1">
      <c r="A59" s="8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ht="17.25" customHeight="1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ht="17.25" customHeight="1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ht="17.25" customHeight="1">
      <c r="A62" s="8"/>
      <c r="B62" s="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ht="17.25" customHeight="1">
      <c r="A63" s="8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ht="17.25" customHeight="1">
      <c r="A64" s="8"/>
      <c r="B64" s="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ht="17.25" customHeight="1">
      <c r="A65" s="8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ht="17.25" customHeight="1">
      <c r="A66" s="8"/>
      <c r="B66" s="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ht="17.25" customHeight="1">
      <c r="A67" s="8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ht="17.25" customHeight="1">
      <c r="A68" s="8"/>
      <c r="B68" s="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17.25" customHeight="1">
      <c r="A69" s="8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ht="17.25" customHeight="1">
      <c r="A70" s="8"/>
      <c r="B70" s="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ht="17.25" customHeight="1">
      <c r="A71" s="8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ht="17.25" customHeight="1">
      <c r="A72" s="8"/>
      <c r="B72" s="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7.25" customHeight="1">
      <c r="A73" s="8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ht="17.25" customHeight="1">
      <c r="A74" s="8"/>
      <c r="B74" s="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ht="17.25" customHeight="1">
      <c r="A75" s="8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ht="17.25" customHeight="1">
      <c r="A76" s="8"/>
      <c r="B76" s="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ht="17.25" customHeight="1">
      <c r="A77" s="8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ht="17.25" customHeight="1">
      <c r="A78" s="8"/>
      <c r="B78" s="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ht="17.25" customHeight="1">
      <c r="A79" s="8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ht="17.25" customHeight="1">
      <c r="A80" s="8"/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ht="17.25" customHeight="1">
      <c r="A81" s="8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ht="17.25" customHeight="1">
      <c r="A82" s="8"/>
      <c r="B82" s="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ht="17.25" customHeight="1">
      <c r="A83" s="8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ht="17.25" customHeight="1">
      <c r="A84" s="8"/>
      <c r="B84" s="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17.25" customHeight="1">
      <c r="A85" s="8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ht="17.25" customHeight="1">
      <c r="A86" s="8"/>
      <c r="B86" s="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ht="17.25" customHeight="1">
      <c r="A87" s="8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ht="17.25" customHeight="1">
      <c r="A88" s="8"/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ht="17.25" customHeight="1">
      <c r="A89" s="8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ht="17.25" customHeight="1">
      <c r="A90" s="8"/>
      <c r="B90" s="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ht="17.25" customHeight="1">
      <c r="A91" s="8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ht="17.25" customHeight="1">
      <c r="A92" s="8"/>
      <c r="B92" s="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ht="17.25" customHeight="1">
      <c r="A93" s="8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ht="17.25" customHeight="1">
      <c r="A94" s="8"/>
      <c r="B94" s="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ht="17.25" customHeight="1">
      <c r="A95" s="8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ht="17.25" customHeight="1">
      <c r="A96" s="8"/>
      <c r="B96" s="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ht="17.25" customHeight="1">
      <c r="A97" s="8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ht="17.25" customHeight="1">
      <c r="A98" s="8"/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ht="17.25" customHeight="1">
      <c r="A99" s="8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ht="17.25" customHeight="1">
      <c r="A100" s="8"/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ht="17.25" customHeight="1">
      <c r="A101" s="8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ht="17.25" customHeight="1">
      <c r="A102" s="8"/>
      <c r="B102" s="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ht="17.25" customHeight="1">
      <c r="A103" s="8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ht="17.25" customHeight="1">
      <c r="A104" s="8"/>
      <c r="B104" s="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ht="17.25" customHeight="1">
      <c r="A105" s="8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ht="17.25" customHeight="1">
      <c r="A106" s="8"/>
      <c r="B106" s="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ht="17.25" customHeight="1">
      <c r="A107" s="8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ht="17.25" customHeight="1">
      <c r="A108" s="8"/>
      <c r="B108" s="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ht="17.25" customHeight="1">
      <c r="A109" s="8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ht="17.25" customHeight="1">
      <c r="A110" s="8"/>
      <c r="B110" s="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ht="17.25" customHeight="1">
      <c r="A111" s="8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ht="17.25" customHeight="1">
      <c r="A112" s="8"/>
      <c r="B112" s="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ht="17.25" customHeight="1">
      <c r="A113" s="8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ht="17.25" customHeight="1">
      <c r="A114" s="8"/>
      <c r="B114" s="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ht="17.25" customHeight="1">
      <c r="A115" s="8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ht="17.25" customHeight="1">
      <c r="A116" s="8"/>
      <c r="B116" s="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ht="17.25" customHeight="1">
      <c r="A117" s="8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ht="17.25" customHeight="1">
      <c r="A118" s="8"/>
      <c r="B118" s="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ht="17.25" customHeight="1">
      <c r="A119" s="8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ht="17.25" customHeight="1">
      <c r="A120" s="8"/>
      <c r="B120" s="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ht="17.25" customHeight="1">
      <c r="A121" s="8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ht="17.25" customHeight="1">
      <c r="A122" s="8"/>
      <c r="B122" s="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ht="17.25" customHeight="1">
      <c r="A123" s="8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ht="17.25" customHeight="1">
      <c r="A124" s="8"/>
      <c r="B124" s="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ht="17.25" customHeight="1">
      <c r="A125" s="8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ht="17.25" customHeight="1">
      <c r="A126" s="8"/>
      <c r="B126" s="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ht="17.25" customHeight="1">
      <c r="A127" s="8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ht="17.25" customHeight="1">
      <c r="A128" s="8"/>
      <c r="B128" s="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ht="17.25" customHeight="1">
      <c r="A129" s="8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ht="17.25" customHeight="1">
      <c r="A130" s="8"/>
      <c r="B130" s="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ht="17.25" customHeight="1">
      <c r="A131" s="8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ht="17.25" customHeight="1">
      <c r="A132" s="8"/>
      <c r="B132" s="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ht="17.25" customHeight="1">
      <c r="A133" s="8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ht="17.25" customHeight="1">
      <c r="A134" s="8"/>
      <c r="B134" s="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ht="17.25" customHeight="1">
      <c r="A135" s="8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ht="17.25" customHeight="1">
      <c r="A136" s="8"/>
      <c r="B136" s="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ht="17.25" customHeight="1">
      <c r="A137" s="8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ht="17.25" customHeight="1">
      <c r="A138" s="8"/>
      <c r="B138" s="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ht="17.25" customHeight="1">
      <c r="A139" s="8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ht="17.25" customHeight="1">
      <c r="A140" s="8"/>
      <c r="B140" s="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ht="17.25" customHeight="1">
      <c r="A141" s="8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ht="17.25" customHeight="1">
      <c r="A142" s="8"/>
      <c r="B142" s="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ht="17.25" customHeight="1">
      <c r="A143" s="8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ht="17.25" customHeight="1">
      <c r="A144" s="8"/>
      <c r="B144" s="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ht="17.25" customHeight="1">
      <c r="A145" s="8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ht="17.25" customHeight="1">
      <c r="A146" s="8"/>
      <c r="B146" s="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ht="17.25" customHeight="1">
      <c r="A147" s="8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ht="17.25" customHeight="1">
      <c r="A148" s="8"/>
      <c r="B148" s="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ht="17.25" customHeight="1">
      <c r="A149" s="8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ht="17.25" customHeight="1">
      <c r="A150" s="8"/>
      <c r="B150" s="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ht="17.25" customHeight="1">
      <c r="A151" s="8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ht="17.25" customHeight="1">
      <c r="A152" s="8"/>
      <c r="B152" s="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ht="17.25" customHeight="1">
      <c r="A153" s="8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ht="17.25" customHeight="1">
      <c r="A154" s="8"/>
      <c r="B154" s="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ht="17.25" customHeight="1">
      <c r="A155" s="8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ht="17.25" customHeight="1">
      <c r="A156" s="8"/>
      <c r="B156" s="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ht="17.25" customHeight="1">
      <c r="A157" s="8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ht="17.25" customHeight="1">
      <c r="A158" s="8"/>
      <c r="B158" s="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ht="17.25" customHeight="1">
      <c r="A159" s="8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ht="17.25" customHeight="1">
      <c r="A160" s="8"/>
      <c r="B160" s="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ht="17.25" customHeight="1">
      <c r="A161" s="8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ht="17.25" customHeight="1">
      <c r="A162" s="8"/>
      <c r="B162" s="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ht="17.25" customHeight="1">
      <c r="A163" s="8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ht="17.25" customHeight="1">
      <c r="A164" s="8"/>
      <c r="B164" s="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ht="17.25" customHeight="1">
      <c r="A165" s="8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ht="17.25" customHeight="1">
      <c r="A166" s="8"/>
      <c r="B166" s="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ht="17.25" customHeight="1">
      <c r="A167" s="8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ht="17.25" customHeight="1">
      <c r="A168" s="8"/>
      <c r="B168" s="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ht="17.25" customHeight="1">
      <c r="A169" s="8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ht="17.25" customHeight="1">
      <c r="A170" s="8"/>
      <c r="B170" s="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ht="17.25" customHeight="1">
      <c r="A171" s="8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ht="17.25" customHeight="1">
      <c r="A172" s="8"/>
      <c r="B172" s="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ht="17.25" customHeight="1">
      <c r="A173" s="8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ht="17.25" customHeight="1">
      <c r="A174" s="8"/>
      <c r="B174" s="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ht="17.25" customHeight="1">
      <c r="A175" s="8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ht="17.25" customHeight="1">
      <c r="A176" s="8"/>
      <c r="B176" s="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ht="17.25" customHeight="1">
      <c r="A177" s="8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ht="17.25" customHeight="1">
      <c r="A178" s="8"/>
      <c r="B178" s="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ht="17.25" customHeight="1">
      <c r="A179" s="8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ht="17.25" customHeight="1">
      <c r="A180" s="8"/>
      <c r="B180" s="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ht="17.25" customHeight="1">
      <c r="A181" s="8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ht="17.25" customHeight="1">
      <c r="A182" s="8"/>
      <c r="B182" s="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ht="17.25" customHeight="1">
      <c r="A183" s="8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ht="17.25" customHeight="1">
      <c r="A184" s="8"/>
      <c r="B184" s="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ht="17.25" customHeight="1">
      <c r="A185" s="8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ht="17.25" customHeight="1">
      <c r="A186" s="8"/>
      <c r="B186" s="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ht="17.25" customHeight="1">
      <c r="A187" s="8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ht="17.25" customHeight="1">
      <c r="A188" s="8"/>
      <c r="B188" s="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ht="17.25" customHeight="1">
      <c r="A189" s="8"/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ht="17.25" customHeight="1">
      <c r="A190" s="8"/>
      <c r="B190" s="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ht="17.25" customHeight="1">
      <c r="A191" s="8"/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ht="17.25" customHeight="1">
      <c r="A192" s="8"/>
      <c r="B192" s="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ht="17.25" customHeight="1">
      <c r="A193" s="8"/>
      <c r="B193" s="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ht="17.25" customHeight="1">
      <c r="A194" s="8"/>
      <c r="B194" s="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ht="17.25" customHeight="1">
      <c r="A195" s="8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ht="17.25" customHeight="1">
      <c r="A196" s="8"/>
      <c r="B196" s="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ht="17.25" customHeight="1">
      <c r="A197" s="8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ht="17.25" customHeight="1">
      <c r="A198" s="8"/>
      <c r="B198" s="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ht="17.25" customHeight="1">
      <c r="A199" s="8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ht="17.25" customHeight="1">
      <c r="A200" s="8"/>
      <c r="B200" s="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ht="17.25" customHeight="1">
      <c r="A201" s="8"/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ht="17.25" customHeight="1">
      <c r="A202" s="8"/>
      <c r="B202" s="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ht="17.25" customHeight="1">
      <c r="A203" s="8"/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ht="17.25" customHeight="1">
      <c r="A204" s="8"/>
      <c r="B204" s="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ht="17.25" customHeight="1">
      <c r="A205" s="8"/>
      <c r="B205" s="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ht="17.25" customHeight="1">
      <c r="A206" s="8"/>
      <c r="B206" s="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ht="17.25" customHeight="1">
      <c r="A207" s="8"/>
      <c r="B207" s="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ht="17.25" customHeight="1">
      <c r="A208" s="8"/>
      <c r="B208" s="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ht="17.25" customHeight="1">
      <c r="A209" s="8"/>
      <c r="B209" s="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ht="17.25" customHeight="1">
      <c r="A210" s="8"/>
      <c r="B210" s="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ht="17.25" customHeight="1">
      <c r="A211" s="8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ht="17.25" customHeight="1">
      <c r="A212" s="8"/>
      <c r="B212" s="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ht="17.25" customHeight="1">
      <c r="A213" s="8"/>
      <c r="B213" s="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ht="17.25" customHeight="1">
      <c r="A214" s="8"/>
      <c r="B214" s="7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ht="17.25" customHeight="1">
      <c r="A215" s="8"/>
      <c r="B215" s="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ht="17.25" customHeight="1">
      <c r="A216" s="8"/>
      <c r="B216" s="7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ht="17.25" customHeight="1">
      <c r="A217" s="8"/>
      <c r="B217" s="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ht="17.25" customHeight="1">
      <c r="A218" s="8"/>
      <c r="B218" s="7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ht="17.25" customHeight="1">
      <c r="A219" s="8"/>
      <c r="B219" s="7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ht="17.25" customHeight="1">
      <c r="A220" s="8"/>
      <c r="B220" s="7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ht="17.25" customHeight="1">
      <c r="A221" s="8"/>
      <c r="B221" s="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ht="17.25" customHeight="1">
      <c r="A222" s="8"/>
      <c r="B222" s="7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ht="17.25" customHeight="1">
      <c r="A223" s="8"/>
      <c r="B223" s="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ht="17.25" customHeight="1">
      <c r="A224" s="8"/>
      <c r="B224" s="7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ht="17.25" customHeight="1">
      <c r="A225" s="8"/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ht="17.25" customHeight="1">
      <c r="A226" s="8"/>
      <c r="B226" s="7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ht="17.25" customHeight="1">
      <c r="A227" s="8"/>
      <c r="B227" s="7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ht="17.25" customHeight="1">
      <c r="A228" s="8"/>
      <c r="B228" s="7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ht="17.25" customHeight="1">
      <c r="A229" s="8"/>
      <c r="B229" s="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ht="17.25" customHeight="1">
      <c r="A230" s="8"/>
      <c r="B230" s="7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ht="17.25" customHeight="1">
      <c r="A231" s="8"/>
      <c r="B231" s="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ht="17.25" customHeight="1">
      <c r="A232" s="8"/>
      <c r="B232" s="7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ht="17.25" customHeight="1">
      <c r="A233" s="8"/>
      <c r="B233" s="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ht="17.25" customHeight="1">
      <c r="A234" s="8"/>
      <c r="B234" s="7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ht="17.25" customHeight="1">
      <c r="A235" s="8"/>
      <c r="B235" s="7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ht="17.25" customHeight="1">
      <c r="A236" s="8"/>
      <c r="B236" s="7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ht="17.25" customHeight="1">
      <c r="A237" s="8"/>
      <c r="B237" s="7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ht="17.25" customHeight="1">
      <c r="A238" s="8"/>
      <c r="B238" s="7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ht="17.25" customHeight="1">
      <c r="A239" s="8"/>
      <c r="B239" s="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ht="17.25" customHeight="1">
      <c r="A240" s="8"/>
      <c r="B240" s="7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ht="17.25" customHeight="1">
      <c r="A241" s="8"/>
      <c r="B241" s="7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ht="17.25" customHeight="1">
      <c r="A242" s="8"/>
      <c r="B242" s="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ht="17.25" customHeight="1">
      <c r="A243" s="8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ht="17.25" customHeight="1">
      <c r="A244" s="8"/>
      <c r="B244" s="7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ht="17.25" customHeight="1">
      <c r="A245" s="8"/>
      <c r="B245" s="7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ht="17.25" customHeight="1">
      <c r="A246" s="8"/>
      <c r="B246" s="7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ht="17.25" customHeight="1">
      <c r="A247" s="8"/>
      <c r="B247" s="7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ht="17.25" customHeight="1">
      <c r="A248" s="8"/>
      <c r="B248" s="7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ht="17.25" customHeight="1">
      <c r="A249" s="8"/>
      <c r="B249" s="7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ht="17.25" customHeight="1">
      <c r="A250" s="8"/>
      <c r="B250" s="7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ht="17.25" customHeight="1">
      <c r="A251" s="8"/>
      <c r="B251" s="7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ht="17.25" customHeight="1">
      <c r="A252" s="8"/>
      <c r="B252" s="7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ht="17.25" customHeight="1">
      <c r="A253" s="8"/>
      <c r="B253" s="7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ht="17.25" customHeight="1">
      <c r="A254" s="8"/>
      <c r="B254" s="7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ht="17.25" customHeight="1">
      <c r="A255" s="8"/>
      <c r="B255" s="7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ht="17.25" customHeight="1">
      <c r="A256" s="8"/>
      <c r="B256" s="7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ht="17.25" customHeight="1">
      <c r="A257" s="8"/>
      <c r="B257" s="7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ht="17.25" customHeight="1">
      <c r="A258" s="8"/>
      <c r="B258" s="7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ht="17.25" customHeight="1">
      <c r="A259" s="8"/>
      <c r="B259" s="7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ht="17.25" customHeight="1">
      <c r="A260" s="8"/>
      <c r="B260" s="7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ht="17.25" customHeight="1">
      <c r="A261" s="8"/>
      <c r="B261" s="7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ht="17.25" customHeight="1">
      <c r="A262" s="8"/>
      <c r="B262" s="7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ht="17.25" customHeight="1">
      <c r="A263" s="8"/>
      <c r="B263" s="7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ht="17.25" customHeight="1">
      <c r="A264" s="8"/>
      <c r="B264" s="7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ht="17.25" customHeight="1">
      <c r="A265" s="8"/>
      <c r="B265" s="7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ht="17.25" customHeight="1">
      <c r="A266" s="8"/>
      <c r="B266" s="7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ht="17.25" customHeight="1">
      <c r="A267" s="8"/>
      <c r="B267" s="7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ht="17.25" customHeight="1">
      <c r="A268" s="8"/>
      <c r="B268" s="7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ht="17.25" customHeight="1">
      <c r="A269" s="8"/>
      <c r="B269" s="7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ht="17.25" customHeight="1">
      <c r="A270" s="8"/>
      <c r="B270" s="7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ht="17.25" customHeight="1">
      <c r="A271" s="8"/>
      <c r="B271" s="7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ht="17.25" customHeight="1">
      <c r="A272" s="8"/>
      <c r="B272" s="7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ht="17.25" customHeight="1">
      <c r="A273" s="8"/>
      <c r="B273" s="7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ht="17.25" customHeight="1">
      <c r="A274" s="8"/>
      <c r="B274" s="7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ht="17.25" customHeight="1">
      <c r="A275" s="8"/>
      <c r="B275" s="7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ht="17.25" customHeight="1">
      <c r="A276" s="8"/>
      <c r="B276" s="7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ht="17.25" customHeight="1">
      <c r="A277" s="8"/>
      <c r="B277" s="7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ht="17.25" customHeight="1">
      <c r="A278" s="8"/>
      <c r="B278" s="7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ht="17.25" customHeight="1">
      <c r="A279" s="8"/>
      <c r="B279" s="7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ht="17.25" customHeight="1">
      <c r="A280" s="8"/>
      <c r="B280" s="7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ht="17.25" customHeight="1">
      <c r="A281" s="8"/>
      <c r="B281" s="7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ht="17.25" customHeight="1">
      <c r="A282" s="8"/>
      <c r="B282" s="7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ht="17.25" customHeight="1">
      <c r="A283" s="8"/>
      <c r="B283" s="7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ht="17.25" customHeight="1">
      <c r="A284" s="8"/>
      <c r="B284" s="7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ht="17.25" customHeight="1">
      <c r="A285" s="8"/>
      <c r="B285" s="7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ht="17.25" customHeight="1">
      <c r="A286" s="8"/>
      <c r="B286" s="7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ht="17.25" customHeight="1">
      <c r="A287" s="8"/>
      <c r="B287" s="7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ht="17.25" customHeight="1">
      <c r="A288" s="8"/>
      <c r="B288" s="7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ht="17.25" customHeight="1">
      <c r="A289" s="8"/>
      <c r="B289" s="7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ht="17.25" customHeight="1">
      <c r="A290" s="8"/>
      <c r="B290" s="7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ht="17.25" customHeight="1">
      <c r="A291" s="8"/>
      <c r="B291" s="7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ht="17.25" customHeight="1">
      <c r="A292" s="8"/>
      <c r="B292" s="7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ht="17.25" customHeight="1">
      <c r="A293" s="8"/>
      <c r="B293" s="7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ht="17.25" customHeight="1">
      <c r="A294" s="8"/>
      <c r="B294" s="7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ht="17.25" customHeight="1">
      <c r="A295" s="8"/>
      <c r="B295" s="7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ht="17.25" customHeight="1">
      <c r="A296" s="8"/>
      <c r="B296" s="7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ht="17.25" customHeight="1">
      <c r="A297" s="8"/>
      <c r="B297" s="7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ht="17.25" customHeight="1">
      <c r="A298" s="8"/>
      <c r="B298" s="7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ht="17.25" customHeight="1">
      <c r="A299" s="8"/>
      <c r="B299" s="7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ht="17.25" customHeight="1">
      <c r="A300" s="8"/>
      <c r="B300" s="7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ht="17.25" customHeight="1">
      <c r="A301" s="8"/>
      <c r="B301" s="7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ht="17.25" customHeight="1">
      <c r="A302" s="8"/>
      <c r="B302" s="7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ht="17.25" customHeight="1">
      <c r="A303" s="8"/>
      <c r="B303" s="7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ht="17.25" customHeight="1">
      <c r="A304" s="8"/>
      <c r="B304" s="7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ht="17.25" customHeight="1">
      <c r="A305" s="8"/>
      <c r="B305" s="7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ht="17.25" customHeight="1">
      <c r="A306" s="8"/>
      <c r="B306" s="7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ht="17.25" customHeight="1">
      <c r="A307" s="8"/>
      <c r="B307" s="7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ht="17.25" customHeight="1">
      <c r="A308" s="8"/>
      <c r="B308" s="7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ht="17.25" customHeight="1">
      <c r="A309" s="8"/>
      <c r="B309" s="7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ht="17.25" customHeight="1">
      <c r="A310" s="8"/>
      <c r="B310" s="7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ht="17.25" customHeight="1">
      <c r="A311" s="8"/>
      <c r="B311" s="7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ht="17.25" customHeight="1">
      <c r="A312" s="8"/>
      <c r="B312" s="7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ht="17.25" customHeight="1">
      <c r="A313" s="8"/>
      <c r="B313" s="7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ht="17.25" customHeight="1">
      <c r="A314" s="8"/>
      <c r="B314" s="7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ht="17.25" customHeight="1">
      <c r="A315" s="8"/>
      <c r="B315" s="7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ht="17.25" customHeight="1">
      <c r="A316" s="8"/>
      <c r="B316" s="7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ht="17.25" customHeight="1">
      <c r="A317" s="8"/>
      <c r="B317" s="7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ht="17.25" customHeight="1">
      <c r="A318" s="8"/>
      <c r="B318" s="7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ht="17.25" customHeight="1">
      <c r="A319" s="8"/>
      <c r="B319" s="7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ht="17.25" customHeight="1">
      <c r="A320" s="8"/>
      <c r="B320" s="7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ht="17.25" customHeight="1">
      <c r="A321" s="8"/>
      <c r="B321" s="7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ht="17.25" customHeight="1">
      <c r="A322" s="8"/>
      <c r="B322" s="7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ht="17.25" customHeight="1">
      <c r="A323" s="8"/>
      <c r="B323" s="7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ht="17.25" customHeight="1">
      <c r="A324" s="8"/>
      <c r="B324" s="7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ht="17.25" customHeight="1">
      <c r="A325" s="8"/>
      <c r="B325" s="7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ht="17.25" customHeight="1">
      <c r="A326" s="8"/>
      <c r="B326" s="7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ht="17.25" customHeight="1">
      <c r="A327" s="8"/>
      <c r="B327" s="7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ht="17.25" customHeight="1">
      <c r="A328" s="8"/>
      <c r="B328" s="7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ht="17.25" customHeight="1">
      <c r="A329" s="8"/>
      <c r="B329" s="7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ht="17.25" customHeight="1">
      <c r="A330" s="8"/>
      <c r="B330" s="7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ht="17.25" customHeight="1">
      <c r="A331" s="8"/>
      <c r="B331" s="7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ht="17.25" customHeight="1">
      <c r="A332" s="8"/>
      <c r="B332" s="7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ht="17.25" customHeight="1">
      <c r="A333" s="8"/>
      <c r="B333" s="7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ht="17.25" customHeight="1">
      <c r="A334" s="8"/>
      <c r="B334" s="7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ht="17.25" customHeight="1">
      <c r="A335" s="8"/>
      <c r="B335" s="7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ht="17.25" customHeight="1">
      <c r="A336" s="8"/>
      <c r="B336" s="7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ht="17.25" customHeight="1">
      <c r="A337" s="8"/>
      <c r="B337" s="7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ht="17.25" customHeight="1">
      <c r="A338" s="8"/>
      <c r="B338" s="7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ht="17.25" customHeight="1">
      <c r="A339" s="8"/>
      <c r="B339" s="7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ht="17.25" customHeight="1">
      <c r="A340" s="8"/>
      <c r="B340" s="7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ht="17.25" customHeight="1">
      <c r="A341" s="8"/>
      <c r="B341" s="7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ht="17.25" customHeight="1">
      <c r="A342" s="8"/>
      <c r="B342" s="7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ht="17.25" customHeight="1">
      <c r="A343" s="8"/>
      <c r="B343" s="7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ht="17.25" customHeight="1">
      <c r="A344" s="8"/>
      <c r="B344" s="7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ht="17.25" customHeight="1">
      <c r="A345" s="8"/>
      <c r="B345" s="7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ht="17.25" customHeight="1">
      <c r="A346" s="8"/>
      <c r="B346" s="7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ht="17.25" customHeight="1">
      <c r="A347" s="8"/>
      <c r="B347" s="7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ht="17.25" customHeight="1">
      <c r="A348" s="8"/>
      <c r="B348" s="7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ht="17.25" customHeight="1">
      <c r="A349" s="8"/>
      <c r="B349" s="7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ht="17.25" customHeight="1">
      <c r="A350" s="8"/>
      <c r="B350" s="7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ht="17.25" customHeight="1">
      <c r="A351" s="8"/>
      <c r="B351" s="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ht="17.25" customHeight="1">
      <c r="A352" s="8"/>
      <c r="B352" s="7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ht="17.25" customHeight="1">
      <c r="A353" s="8"/>
      <c r="B353" s="7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ht="17.25" customHeight="1">
      <c r="A354" s="8"/>
      <c r="B354" s="7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ht="17.25" customHeight="1">
      <c r="A355" s="8"/>
      <c r="B355" s="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ht="17.25" customHeight="1">
      <c r="A356" s="8"/>
      <c r="B356" s="7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ht="17.25" customHeight="1">
      <c r="A357" s="8"/>
      <c r="B357" s="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ht="17.25" customHeight="1">
      <c r="A358" s="8"/>
      <c r="B358" s="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ht="17.25" customHeight="1">
      <c r="A359" s="8"/>
      <c r="B359" s="7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ht="17.25" customHeight="1">
      <c r="A360" s="8"/>
      <c r="B360" s="7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ht="17.25" customHeight="1">
      <c r="A361" s="8"/>
      <c r="B361" s="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ht="17.25" customHeight="1">
      <c r="A362" s="8"/>
      <c r="B362" s="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ht="17.25" customHeight="1">
      <c r="A363" s="8"/>
      <c r="B363" s="7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ht="17.25" customHeight="1">
      <c r="A364" s="8"/>
      <c r="B364" s="7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ht="17.25" customHeight="1">
      <c r="A365" s="8"/>
      <c r="B365" s="7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ht="17.25" customHeight="1">
      <c r="A366" s="8"/>
      <c r="B366" s="7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ht="17.25" customHeight="1">
      <c r="A367" s="8"/>
      <c r="B367" s="7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ht="17.25" customHeight="1">
      <c r="A368" s="8"/>
      <c r="B368" s="7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ht="17.25" customHeight="1">
      <c r="A369" s="8"/>
      <c r="B369" s="7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ht="17.25" customHeight="1">
      <c r="A370" s="8"/>
      <c r="B370" s="7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ht="17.25" customHeight="1">
      <c r="A371" s="8"/>
      <c r="B371" s="7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ht="17.25" customHeight="1">
      <c r="A372" s="8"/>
      <c r="B372" s="7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ht="17.25" customHeight="1">
      <c r="A373" s="8"/>
      <c r="B373" s="7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ht="17.25" customHeight="1">
      <c r="A374" s="8"/>
      <c r="B374" s="7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ht="17.25" customHeight="1">
      <c r="A375" s="8"/>
      <c r="B375" s="7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ht="17.25" customHeight="1">
      <c r="A376" s="8"/>
      <c r="B376" s="7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ht="17.25" customHeight="1">
      <c r="A377" s="8"/>
      <c r="B377" s="7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ht="17.25" customHeight="1">
      <c r="A378" s="8"/>
      <c r="B378" s="7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ht="17.25" customHeight="1">
      <c r="A379" s="8"/>
      <c r="B379" s="7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ht="17.25" customHeight="1">
      <c r="A380" s="8"/>
      <c r="B380" s="7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ht="17.25" customHeight="1">
      <c r="A381" s="8"/>
      <c r="B381" s="7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ht="17.25" customHeight="1">
      <c r="A382" s="8"/>
      <c r="B382" s="7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ht="17.25" customHeight="1">
      <c r="A383" s="8"/>
      <c r="B383" s="7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ht="17.25" customHeight="1">
      <c r="A384" s="8"/>
      <c r="B384" s="7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ht="17.25" customHeight="1">
      <c r="A385" s="8"/>
      <c r="B385" s="7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ht="17.25" customHeight="1">
      <c r="A386" s="8"/>
      <c r="B386" s="7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ht="17.25" customHeight="1">
      <c r="A387" s="8"/>
      <c r="B387" s="7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ht="17.25" customHeight="1">
      <c r="A388" s="8"/>
      <c r="B388" s="7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ht="17.25" customHeight="1">
      <c r="A389" s="8"/>
      <c r="B389" s="7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ht="17.25" customHeight="1">
      <c r="A390" s="8"/>
      <c r="B390" s="7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ht="17.25" customHeight="1">
      <c r="A391" s="8"/>
      <c r="B391" s="7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ht="17.25" customHeight="1">
      <c r="A392" s="8"/>
      <c r="B392" s="7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ht="17.25" customHeight="1">
      <c r="A393" s="8"/>
      <c r="B393" s="7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ht="17.25" customHeight="1">
      <c r="A394" s="8"/>
      <c r="B394" s="7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ht="17.25" customHeight="1">
      <c r="A395" s="8"/>
      <c r="B395" s="7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ht="17.25" customHeight="1">
      <c r="A396" s="8"/>
      <c r="B396" s="7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ht="17.25" customHeight="1">
      <c r="A397" s="8"/>
      <c r="B397" s="7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ht="17.25" customHeight="1">
      <c r="A398" s="8"/>
      <c r="B398" s="7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ht="17.25" customHeight="1">
      <c r="A399" s="8"/>
      <c r="B399" s="7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ht="17.25" customHeight="1">
      <c r="A400" s="8"/>
      <c r="B400" s="7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ht="17.25" customHeight="1">
      <c r="A401" s="8"/>
      <c r="B401" s="7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ht="17.25" customHeight="1">
      <c r="A402" s="8"/>
      <c r="B402" s="7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ht="17.25" customHeight="1">
      <c r="A403" s="8"/>
      <c r="B403" s="7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ht="17.25" customHeight="1">
      <c r="A404" s="8"/>
      <c r="B404" s="7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ht="17.25" customHeight="1">
      <c r="A405" s="8"/>
      <c r="B405" s="7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ht="17.25" customHeight="1">
      <c r="A406" s="8"/>
      <c r="B406" s="7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ht="17.25" customHeight="1">
      <c r="A407" s="8"/>
      <c r="B407" s="7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ht="17.25" customHeight="1">
      <c r="A408" s="8"/>
      <c r="B408" s="7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ht="17.25" customHeight="1">
      <c r="A409" s="8"/>
      <c r="B409" s="7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ht="17.25" customHeight="1">
      <c r="A410" s="8"/>
      <c r="B410" s="7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ht="17.25" customHeight="1">
      <c r="A411" s="8"/>
      <c r="B411" s="7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ht="17.25" customHeight="1">
      <c r="A412" s="8"/>
      <c r="B412" s="7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ht="17.25" customHeight="1">
      <c r="A413" s="8"/>
      <c r="B413" s="7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ht="17.25" customHeight="1">
      <c r="A414" s="8"/>
      <c r="B414" s="7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ht="17.25" customHeight="1">
      <c r="A415" s="8"/>
      <c r="B415" s="7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ht="17.25" customHeight="1">
      <c r="A416" s="8"/>
      <c r="B416" s="7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ht="17.25" customHeight="1">
      <c r="A417" s="8"/>
      <c r="B417" s="7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ht="17.25" customHeight="1">
      <c r="A418" s="8"/>
      <c r="B418" s="7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ht="17.25" customHeight="1">
      <c r="A419" s="8"/>
      <c r="B419" s="7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ht="17.25" customHeight="1">
      <c r="A420" s="8"/>
      <c r="B420" s="7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ht="17.25" customHeight="1">
      <c r="A421" s="8"/>
      <c r="B421" s="7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ht="17.25" customHeight="1">
      <c r="A422" s="8"/>
      <c r="B422" s="7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ht="17.25" customHeight="1">
      <c r="A423" s="8"/>
      <c r="B423" s="7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ht="17.25" customHeight="1">
      <c r="A424" s="8"/>
      <c r="B424" s="7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ht="17.25" customHeight="1">
      <c r="A425" s="8"/>
      <c r="B425" s="7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ht="17.25" customHeight="1">
      <c r="A426" s="8"/>
      <c r="B426" s="7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ht="17.25" customHeight="1">
      <c r="A427" s="8"/>
      <c r="B427" s="7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ht="17.25" customHeight="1">
      <c r="A428" s="8"/>
      <c r="B428" s="7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ht="17.25" customHeight="1">
      <c r="A429" s="8"/>
      <c r="B429" s="7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ht="17.25" customHeight="1">
      <c r="A430" s="8"/>
      <c r="B430" s="7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ht="17.25" customHeight="1">
      <c r="A431" s="8"/>
      <c r="B431" s="7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ht="17.25" customHeight="1">
      <c r="A432" s="8"/>
      <c r="B432" s="7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ht="17.25" customHeight="1">
      <c r="A433" s="8"/>
      <c r="B433" s="7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ht="17.25" customHeight="1">
      <c r="A434" s="8"/>
      <c r="B434" s="7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ht="17.25" customHeight="1">
      <c r="A435" s="8"/>
      <c r="B435" s="7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ht="17.25" customHeight="1">
      <c r="A436" s="8"/>
      <c r="B436" s="7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ht="17.25" customHeight="1">
      <c r="A437" s="8"/>
      <c r="B437" s="7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ht="17.25" customHeight="1">
      <c r="A438" s="8"/>
      <c r="B438" s="7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ht="17.25" customHeight="1">
      <c r="A439" s="8"/>
      <c r="B439" s="7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ht="17.25" customHeight="1">
      <c r="A440" s="8"/>
      <c r="B440" s="7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ht="17.25" customHeight="1">
      <c r="A441" s="8"/>
      <c r="B441" s="7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ht="17.25" customHeight="1">
      <c r="A442" s="8"/>
      <c r="B442" s="7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ht="17.25" customHeight="1">
      <c r="A443" s="8"/>
      <c r="B443" s="7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ht="17.25" customHeight="1">
      <c r="A444" s="8"/>
      <c r="B444" s="7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ht="17.25" customHeight="1">
      <c r="A445" s="8"/>
      <c r="B445" s="7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ht="17.25" customHeight="1">
      <c r="A446" s="8"/>
      <c r="B446" s="7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ht="17.25" customHeight="1">
      <c r="A447" s="8"/>
      <c r="B447" s="7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ht="17.25" customHeight="1">
      <c r="A448" s="8"/>
      <c r="B448" s="7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ht="17.25" customHeight="1">
      <c r="A449" s="8"/>
      <c r="B449" s="7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ht="17.25" customHeight="1">
      <c r="A450" s="8"/>
      <c r="B450" s="7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ht="17.25" customHeight="1">
      <c r="A451" s="8"/>
      <c r="B451" s="7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ht="17.25" customHeight="1">
      <c r="A452" s="8"/>
      <c r="B452" s="7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ht="17.25" customHeight="1">
      <c r="A453" s="8"/>
      <c r="B453" s="7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ht="17.25" customHeight="1">
      <c r="A454" s="8"/>
      <c r="B454" s="7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ht="17.25" customHeight="1">
      <c r="A455" s="8"/>
      <c r="B455" s="7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ht="17.25" customHeight="1">
      <c r="A456" s="8"/>
      <c r="B456" s="7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ht="17.25" customHeight="1">
      <c r="A457" s="8"/>
      <c r="B457" s="7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ht="17.25" customHeight="1">
      <c r="A458" s="8"/>
      <c r="B458" s="7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ht="17.25" customHeight="1">
      <c r="A459" s="8"/>
      <c r="B459" s="7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ht="17.25" customHeight="1">
      <c r="A460" s="8"/>
      <c r="B460" s="7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ht="17.25" customHeight="1">
      <c r="A461" s="8"/>
      <c r="B461" s="7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ht="17.25" customHeight="1">
      <c r="A462" s="8"/>
      <c r="B462" s="7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ht="17.25" customHeight="1">
      <c r="A463" s="8"/>
      <c r="B463" s="7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ht="17.25" customHeight="1">
      <c r="A464" s="8"/>
      <c r="B464" s="7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ht="17.25" customHeight="1">
      <c r="A465" s="8"/>
      <c r="B465" s="7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ht="17.25" customHeight="1">
      <c r="A466" s="8"/>
      <c r="B466" s="7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ht="17.25" customHeight="1">
      <c r="A467" s="8"/>
      <c r="B467" s="7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ht="17.25" customHeight="1">
      <c r="A468" s="8"/>
      <c r="B468" s="7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ht="17.25" customHeight="1">
      <c r="A469" s="8"/>
      <c r="B469" s="7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ht="17.25" customHeight="1">
      <c r="A470" s="8"/>
      <c r="B470" s="7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ht="17.25" customHeight="1">
      <c r="A471" s="8"/>
      <c r="B471" s="7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ht="17.25" customHeight="1">
      <c r="A472" s="8"/>
      <c r="B472" s="7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ht="17.25" customHeight="1">
      <c r="A473" s="8"/>
      <c r="B473" s="7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ht="17.25" customHeight="1">
      <c r="A474" s="8"/>
      <c r="B474" s="7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ht="17.25" customHeight="1">
      <c r="A475" s="8"/>
      <c r="B475" s="7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ht="17.25" customHeight="1">
      <c r="A476" s="8"/>
      <c r="B476" s="7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ht="17.25" customHeight="1">
      <c r="A477" s="8"/>
      <c r="B477" s="7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ht="17.25" customHeight="1">
      <c r="A478" s="8"/>
      <c r="B478" s="7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ht="17.25" customHeight="1">
      <c r="A479" s="8"/>
      <c r="B479" s="7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ht="17.25" customHeight="1">
      <c r="A480" s="8"/>
      <c r="B480" s="7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ht="17.25" customHeight="1">
      <c r="A481" s="8"/>
      <c r="B481" s="7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ht="17.25" customHeight="1">
      <c r="A482" s="8"/>
      <c r="B482" s="7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ht="17.25" customHeight="1">
      <c r="A483" s="8"/>
      <c r="B483" s="7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ht="17.25" customHeight="1">
      <c r="A484" s="8"/>
      <c r="B484" s="7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ht="17.25" customHeight="1">
      <c r="A485" s="8"/>
      <c r="B485" s="7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ht="17.25" customHeight="1">
      <c r="A486" s="8"/>
      <c r="B486" s="7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ht="17.25" customHeight="1">
      <c r="A487" s="8"/>
      <c r="B487" s="7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ht="17.25" customHeight="1">
      <c r="A488" s="8"/>
      <c r="B488" s="7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ht="17.25" customHeight="1">
      <c r="A489" s="8"/>
      <c r="B489" s="7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ht="17.25" customHeight="1">
      <c r="A490" s="8"/>
      <c r="B490" s="7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ht="17.25" customHeight="1">
      <c r="A491" s="8"/>
      <c r="B491" s="7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ht="17.25" customHeight="1">
      <c r="A492" s="8"/>
      <c r="B492" s="7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ht="17.25" customHeight="1">
      <c r="A493" s="8"/>
      <c r="B493" s="7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ht="17.25" customHeight="1">
      <c r="A494" s="8"/>
      <c r="B494" s="7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ht="17.25" customHeight="1">
      <c r="A495" s="8"/>
      <c r="B495" s="7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ht="17.25" customHeight="1">
      <c r="A496" s="8"/>
      <c r="B496" s="7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ht="17.25" customHeight="1">
      <c r="A497" s="8"/>
      <c r="B497" s="7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ht="17.25" customHeight="1">
      <c r="A498" s="8"/>
      <c r="B498" s="7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ht="17.25" customHeight="1">
      <c r="A499" s="8"/>
      <c r="B499" s="7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ht="17.25" customHeight="1">
      <c r="A500" s="8"/>
      <c r="B500" s="7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ht="17.25" customHeight="1">
      <c r="A501" s="8"/>
      <c r="B501" s="7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ht="17.25" customHeight="1">
      <c r="A502" s="8"/>
      <c r="B502" s="7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ht="17.25" customHeight="1">
      <c r="A503" s="8"/>
      <c r="B503" s="7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ht="17.25" customHeight="1">
      <c r="A504" s="8"/>
      <c r="B504" s="7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ht="17.25" customHeight="1">
      <c r="A505" s="8"/>
      <c r="B505" s="7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ht="17.25" customHeight="1">
      <c r="A506" s="8"/>
      <c r="B506" s="7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ht="17.25" customHeight="1">
      <c r="A507" s="8"/>
      <c r="B507" s="7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ht="17.25" customHeight="1">
      <c r="A508" s="8"/>
      <c r="B508" s="7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ht="17.25" customHeight="1">
      <c r="A509" s="8"/>
      <c r="B509" s="7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ht="17.25" customHeight="1">
      <c r="A510" s="8"/>
      <c r="B510" s="7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ht="17.25" customHeight="1">
      <c r="A511" s="8"/>
      <c r="B511" s="7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ht="17.25" customHeight="1">
      <c r="A512" s="8"/>
      <c r="B512" s="7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ht="17.25" customHeight="1">
      <c r="A513" s="8"/>
      <c r="B513" s="7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ht="17.25" customHeight="1">
      <c r="A514" s="8"/>
      <c r="B514" s="7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ht="17.25" customHeight="1">
      <c r="A515" s="8"/>
      <c r="B515" s="7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ht="17.25" customHeight="1">
      <c r="A516" s="8"/>
      <c r="B516" s="7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ht="17.25" customHeight="1">
      <c r="A517" s="8"/>
      <c r="B517" s="7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ht="17.25" customHeight="1">
      <c r="A518" s="8"/>
      <c r="B518" s="7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ht="17.25" customHeight="1">
      <c r="A519" s="8"/>
      <c r="B519" s="7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ht="17.25" customHeight="1">
      <c r="A520" s="8"/>
      <c r="B520" s="7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ht="17.25" customHeight="1">
      <c r="A521" s="8"/>
      <c r="B521" s="7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ht="17.25" customHeight="1">
      <c r="A522" s="8"/>
      <c r="B522" s="7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ht="17.25" customHeight="1">
      <c r="A523" s="8"/>
      <c r="B523" s="7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ht="17.25" customHeight="1">
      <c r="A524" s="8"/>
      <c r="B524" s="7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ht="17.25" customHeight="1">
      <c r="A525" s="8"/>
      <c r="B525" s="7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ht="17.25" customHeight="1">
      <c r="A526" s="8"/>
      <c r="B526" s="7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ht="17.25" customHeight="1">
      <c r="A527" s="8"/>
      <c r="B527" s="7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ht="17.25" customHeight="1">
      <c r="A528" s="8"/>
      <c r="B528" s="7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ht="17.25" customHeight="1">
      <c r="A529" s="8"/>
      <c r="B529" s="7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ht="17.25" customHeight="1">
      <c r="A530" s="8"/>
      <c r="B530" s="7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ht="17.25" customHeight="1">
      <c r="A531" s="8"/>
      <c r="B531" s="7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ht="17.25" customHeight="1">
      <c r="A532" s="8"/>
      <c r="B532" s="7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ht="17.25" customHeight="1">
      <c r="A533" s="8"/>
      <c r="B533" s="7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ht="17.25" customHeight="1">
      <c r="A534" s="8"/>
      <c r="B534" s="7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ht="17.25" customHeight="1">
      <c r="A535" s="8"/>
      <c r="B535" s="7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ht="17.25" customHeight="1">
      <c r="A536" s="8"/>
      <c r="B536" s="7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ht="17.25" customHeight="1">
      <c r="A537" s="8"/>
      <c r="B537" s="7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ht="17.25" customHeight="1">
      <c r="A538" s="8"/>
      <c r="B538" s="7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ht="17.25" customHeight="1">
      <c r="A539" s="8"/>
      <c r="B539" s="7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ht="17.25" customHeight="1">
      <c r="A540" s="8"/>
      <c r="B540" s="7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ht="17.25" customHeight="1">
      <c r="A541" s="8"/>
      <c r="B541" s="7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ht="17.25" customHeight="1">
      <c r="A542" s="8"/>
      <c r="B542" s="7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ht="17.25" customHeight="1">
      <c r="A543" s="8"/>
      <c r="B543" s="7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ht="17.25" customHeight="1">
      <c r="A544" s="8"/>
      <c r="B544" s="7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ht="17.25" customHeight="1">
      <c r="A545" s="8"/>
      <c r="B545" s="7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ht="17.25" customHeight="1">
      <c r="A546" s="8"/>
      <c r="B546" s="7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ht="17.25" customHeight="1">
      <c r="A547" s="8"/>
      <c r="B547" s="7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ht="17.25" customHeight="1">
      <c r="A548" s="8"/>
      <c r="B548" s="7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ht="17.25" customHeight="1">
      <c r="A549" s="8"/>
      <c r="B549" s="7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ht="17.25" customHeight="1">
      <c r="A550" s="8"/>
      <c r="B550" s="7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ht="17.25" customHeight="1">
      <c r="A551" s="8"/>
      <c r="B551" s="7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ht="17.25" customHeight="1">
      <c r="A552" s="8"/>
      <c r="B552" s="7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ht="17.25" customHeight="1">
      <c r="A553" s="8"/>
      <c r="B553" s="7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ht="17.25" customHeight="1">
      <c r="A554" s="8"/>
      <c r="B554" s="7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ht="17.25" customHeight="1">
      <c r="A555" s="8"/>
      <c r="B555" s="7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ht="17.25" customHeight="1">
      <c r="A556" s="8"/>
      <c r="B556" s="7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ht="17.25" customHeight="1">
      <c r="A557" s="8"/>
      <c r="B557" s="7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ht="17.25" customHeight="1">
      <c r="A558" s="8"/>
      <c r="B558" s="7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ht="17.25" customHeight="1">
      <c r="A559" s="8"/>
      <c r="B559" s="7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ht="17.25" customHeight="1">
      <c r="A560" s="8"/>
      <c r="B560" s="7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ht="17.25" customHeight="1">
      <c r="A561" s="8"/>
      <c r="B561" s="7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ht="17.25" customHeight="1">
      <c r="A562" s="8"/>
      <c r="B562" s="7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ht="17.25" customHeight="1">
      <c r="A563" s="8"/>
      <c r="B563" s="7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ht="17.25" customHeight="1">
      <c r="A564" s="8"/>
      <c r="B564" s="7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ht="17.25" customHeight="1">
      <c r="A565" s="8"/>
      <c r="B565" s="7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ht="17.25" customHeight="1">
      <c r="A566" s="8"/>
      <c r="B566" s="7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ht="17.25" customHeight="1">
      <c r="A567" s="8"/>
      <c r="B567" s="7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ht="17.25" customHeight="1">
      <c r="A568" s="8"/>
      <c r="B568" s="7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ht="17.25" customHeight="1">
      <c r="A569" s="8"/>
      <c r="B569" s="7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ht="17.25" customHeight="1">
      <c r="A570" s="8"/>
      <c r="B570" s="7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ht="17.25" customHeight="1">
      <c r="A571" s="8"/>
      <c r="B571" s="7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ht="17.25" customHeight="1">
      <c r="A572" s="8"/>
      <c r="B572" s="7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ht="17.25" customHeight="1">
      <c r="A573" s="8"/>
      <c r="B573" s="7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ht="17.25" customHeight="1">
      <c r="A574" s="8"/>
      <c r="B574" s="7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ht="17.25" customHeight="1">
      <c r="A575" s="8"/>
      <c r="B575" s="7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ht="17.25" customHeight="1">
      <c r="A576" s="8"/>
      <c r="B576" s="7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ht="17.25" customHeight="1">
      <c r="A577" s="8"/>
      <c r="B577" s="7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ht="17.25" customHeight="1">
      <c r="A578" s="8"/>
      <c r="B578" s="7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ht="17.25" customHeight="1">
      <c r="A579" s="8"/>
      <c r="B579" s="7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ht="17.25" customHeight="1">
      <c r="A580" s="8"/>
      <c r="B580" s="7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ht="17.25" customHeight="1">
      <c r="A581" s="8"/>
      <c r="B581" s="7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ht="17.25" customHeight="1">
      <c r="A582" s="8"/>
      <c r="B582" s="7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ht="17.25" customHeight="1">
      <c r="A583" s="8"/>
      <c r="B583" s="7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ht="17.25" customHeight="1">
      <c r="A584" s="8"/>
      <c r="B584" s="7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ht="17.25" customHeight="1">
      <c r="A585" s="8"/>
      <c r="B585" s="7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ht="17.25" customHeight="1">
      <c r="A586" s="8"/>
      <c r="B586" s="7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ht="17.25" customHeight="1">
      <c r="A587" s="8"/>
      <c r="B587" s="7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ht="17.25" customHeight="1">
      <c r="A588" s="8"/>
      <c r="B588" s="7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ht="17.25" customHeight="1">
      <c r="A589" s="8"/>
      <c r="B589" s="7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ht="17.25" customHeight="1">
      <c r="A590" s="8"/>
      <c r="B590" s="7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ht="17.25" customHeight="1">
      <c r="A591" s="8"/>
      <c r="B591" s="7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ht="17.25" customHeight="1">
      <c r="A592" s="8"/>
      <c r="B592" s="7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ht="17.25" customHeight="1">
      <c r="A593" s="8"/>
      <c r="B593" s="7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ht="17.25" customHeight="1">
      <c r="A594" s="8"/>
      <c r="B594" s="7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ht="17.25" customHeight="1">
      <c r="A595" s="8"/>
      <c r="B595" s="7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ht="17.25" customHeight="1">
      <c r="A596" s="8"/>
      <c r="B596" s="7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ht="17.25" customHeight="1">
      <c r="A597" s="8"/>
      <c r="B597" s="7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ht="17.25" customHeight="1">
      <c r="A598" s="8"/>
      <c r="B598" s="7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ht="17.25" customHeight="1">
      <c r="A599" s="8"/>
      <c r="B599" s="7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ht="17.25" customHeight="1">
      <c r="A600" s="8"/>
      <c r="B600" s="7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ht="17.25" customHeight="1">
      <c r="A601" s="8"/>
      <c r="B601" s="7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ht="17.25" customHeight="1">
      <c r="A602" s="8"/>
      <c r="B602" s="7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ht="17.25" customHeight="1">
      <c r="A603" s="8"/>
      <c r="B603" s="7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ht="17.25" customHeight="1">
      <c r="A604" s="8"/>
      <c r="B604" s="7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ht="17.25" customHeight="1">
      <c r="A605" s="8"/>
      <c r="B605" s="7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ht="17.25" customHeight="1">
      <c r="A606" s="8"/>
      <c r="B606" s="7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ht="17.25" customHeight="1">
      <c r="A607" s="8"/>
      <c r="B607" s="7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ht="17.25" customHeight="1">
      <c r="A608" s="8"/>
      <c r="B608" s="7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ht="17.25" customHeight="1">
      <c r="A609" s="8"/>
      <c r="B609" s="7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ht="17.25" customHeight="1">
      <c r="A610" s="8"/>
      <c r="B610" s="7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ht="17.25" customHeight="1">
      <c r="A611" s="8"/>
      <c r="B611" s="7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ht="17.25" customHeight="1">
      <c r="A612" s="8"/>
      <c r="B612" s="7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ht="17.25" customHeight="1">
      <c r="A613" s="8"/>
      <c r="B613" s="7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ht="17.25" customHeight="1">
      <c r="A614" s="8"/>
      <c r="B614" s="7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ht="17.25" customHeight="1">
      <c r="A615" s="8"/>
      <c r="B615" s="7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ht="17.25" customHeight="1">
      <c r="A616" s="8"/>
      <c r="B616" s="7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ht="17.25" customHeight="1">
      <c r="A617" s="8"/>
      <c r="B617" s="7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ht="17.25" customHeight="1">
      <c r="A618" s="8"/>
      <c r="B618" s="7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ht="17.25" customHeight="1">
      <c r="A619" s="8"/>
      <c r="B619" s="7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ht="17.25" customHeight="1">
      <c r="A620" s="8"/>
      <c r="B620" s="7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ht="17.25" customHeight="1">
      <c r="A621" s="8"/>
      <c r="B621" s="7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ht="17.25" customHeight="1">
      <c r="A622" s="8"/>
      <c r="B622" s="7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ht="17.25" customHeight="1">
      <c r="A623" s="8"/>
      <c r="B623" s="7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ht="17.25" customHeight="1">
      <c r="A624" s="8"/>
      <c r="B624" s="7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ht="17.25" customHeight="1">
      <c r="A625" s="8"/>
      <c r="B625" s="7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ht="17.25" customHeight="1">
      <c r="A626" s="8"/>
      <c r="B626" s="7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ht="17.25" customHeight="1">
      <c r="A627" s="8"/>
      <c r="B627" s="7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ht="17.25" customHeight="1">
      <c r="A628" s="8"/>
      <c r="B628" s="7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ht="17.25" customHeight="1">
      <c r="A629" s="8"/>
      <c r="B629" s="7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ht="17.25" customHeight="1">
      <c r="A630" s="8"/>
      <c r="B630" s="7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ht="17.25" customHeight="1">
      <c r="A631" s="8"/>
      <c r="B631" s="7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ht="17.25" customHeight="1">
      <c r="A632" s="8"/>
      <c r="B632" s="7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ht="17.25" customHeight="1">
      <c r="A633" s="8"/>
      <c r="B633" s="7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ht="17.25" customHeight="1">
      <c r="A634" s="8"/>
      <c r="B634" s="7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ht="17.25" customHeight="1">
      <c r="A635" s="8"/>
      <c r="B635" s="7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ht="17.25" customHeight="1">
      <c r="A636" s="8"/>
      <c r="B636" s="7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ht="17.25" customHeight="1">
      <c r="A637" s="8"/>
      <c r="B637" s="7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ht="17.25" customHeight="1">
      <c r="A638" s="8"/>
      <c r="B638" s="7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ht="17.25" customHeight="1">
      <c r="A639" s="8"/>
      <c r="B639" s="7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ht="17.25" customHeight="1">
      <c r="A640" s="8"/>
      <c r="B640" s="7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ht="17.25" customHeight="1">
      <c r="A641" s="8"/>
      <c r="B641" s="7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ht="17.25" customHeight="1">
      <c r="A642" s="8"/>
      <c r="B642" s="7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ht="17.25" customHeight="1">
      <c r="A643" s="8"/>
      <c r="B643" s="7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ht="17.25" customHeight="1">
      <c r="A644" s="8"/>
      <c r="B644" s="7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ht="17.25" customHeight="1">
      <c r="A645" s="8"/>
      <c r="B645" s="7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ht="17.25" customHeight="1">
      <c r="A646" s="8"/>
      <c r="B646" s="7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ht="17.25" customHeight="1">
      <c r="A647" s="8"/>
      <c r="B647" s="7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ht="17.25" customHeight="1">
      <c r="A648" s="8"/>
      <c r="B648" s="7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ht="17.25" customHeight="1">
      <c r="A649" s="8"/>
      <c r="B649" s="7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ht="17.25" customHeight="1">
      <c r="A650" s="8"/>
      <c r="B650" s="7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ht="17.25" customHeight="1">
      <c r="A651" s="8"/>
      <c r="B651" s="7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ht="17.25" customHeight="1">
      <c r="A652" s="8"/>
      <c r="B652" s="7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ht="17.25" customHeight="1">
      <c r="A653" s="8"/>
      <c r="B653" s="7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ht="17.25" customHeight="1">
      <c r="A654" s="8"/>
      <c r="B654" s="7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ht="17.25" customHeight="1">
      <c r="A655" s="8"/>
      <c r="B655" s="7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ht="17.25" customHeight="1">
      <c r="A656" s="8"/>
      <c r="B656" s="7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ht="17.25" customHeight="1">
      <c r="A657" s="8"/>
      <c r="B657" s="7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ht="17.25" customHeight="1">
      <c r="A658" s="8"/>
      <c r="B658" s="7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ht="17.25" customHeight="1">
      <c r="A659" s="8"/>
      <c r="B659" s="7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ht="17.25" customHeight="1">
      <c r="A660" s="8"/>
      <c r="B660" s="7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ht="17.25" customHeight="1">
      <c r="A661" s="8"/>
      <c r="B661" s="7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ht="17.25" customHeight="1">
      <c r="A662" s="8"/>
      <c r="B662" s="7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ht="17.25" customHeight="1">
      <c r="A663" s="8"/>
      <c r="B663" s="7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ht="17.25" customHeight="1">
      <c r="A664" s="8"/>
      <c r="B664" s="7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ht="17.25" customHeight="1">
      <c r="A665" s="8"/>
      <c r="B665" s="7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ht="17.25" customHeight="1">
      <c r="A666" s="8"/>
      <c r="B666" s="7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ht="17.25" customHeight="1">
      <c r="A667" s="8"/>
      <c r="B667" s="7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ht="17.25" customHeight="1">
      <c r="A668" s="8"/>
      <c r="B668" s="7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ht="17.25" customHeight="1">
      <c r="A669" s="8"/>
      <c r="B669" s="7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ht="17.25" customHeight="1">
      <c r="A670" s="8"/>
      <c r="B670" s="7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ht="17.25" customHeight="1">
      <c r="A671" s="8"/>
      <c r="B671" s="7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ht="17.25" customHeight="1">
      <c r="A672" s="8"/>
      <c r="B672" s="7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ht="17.25" customHeight="1">
      <c r="A673" s="8"/>
      <c r="B673" s="7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ht="17.25" customHeight="1">
      <c r="A674" s="8"/>
      <c r="B674" s="7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ht="17.25" customHeight="1">
      <c r="A675" s="8"/>
      <c r="B675" s="7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ht="17.25" customHeight="1">
      <c r="A676" s="8"/>
      <c r="B676" s="7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ht="17.25" customHeight="1">
      <c r="A677" s="8"/>
      <c r="B677" s="7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ht="17.25" customHeight="1">
      <c r="A678" s="8"/>
      <c r="B678" s="7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ht="17.25" customHeight="1">
      <c r="A679" s="8"/>
      <c r="B679" s="7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ht="17.25" customHeight="1">
      <c r="A680" s="8"/>
      <c r="B680" s="7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ht="17.25" customHeight="1">
      <c r="A681" s="8"/>
      <c r="B681" s="7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ht="17.25" customHeight="1">
      <c r="A682" s="8"/>
      <c r="B682" s="7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ht="17.25" customHeight="1">
      <c r="A683" s="8"/>
      <c r="B683" s="7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ht="17.25" customHeight="1">
      <c r="A684" s="8"/>
      <c r="B684" s="7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ht="17.25" customHeight="1">
      <c r="A685" s="8"/>
      <c r="B685" s="7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ht="17.25" customHeight="1">
      <c r="A686" s="8"/>
      <c r="B686" s="7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ht="17.25" customHeight="1">
      <c r="A687" s="8"/>
      <c r="B687" s="7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ht="17.25" customHeight="1">
      <c r="A688" s="8"/>
      <c r="B688" s="7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ht="17.25" customHeight="1">
      <c r="A689" s="8"/>
      <c r="B689" s="7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ht="17.25" customHeight="1">
      <c r="A690" s="8"/>
      <c r="B690" s="7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ht="17.25" customHeight="1">
      <c r="A691" s="8"/>
      <c r="B691" s="7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ht="17.25" customHeight="1">
      <c r="A692" s="8"/>
      <c r="B692" s="7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ht="17.25" customHeight="1">
      <c r="A693" s="8"/>
      <c r="B693" s="7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ht="17.25" customHeight="1">
      <c r="A694" s="8"/>
      <c r="B694" s="7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ht="17.25" customHeight="1">
      <c r="A695" s="8"/>
      <c r="B695" s="7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ht="17.25" customHeight="1">
      <c r="A696" s="8"/>
      <c r="B696" s="7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ht="17.25" customHeight="1">
      <c r="A697" s="8"/>
      <c r="B697" s="7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ht="17.25" customHeight="1">
      <c r="A698" s="8"/>
      <c r="B698" s="7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ht="17.25" customHeight="1">
      <c r="A699" s="8"/>
      <c r="B699" s="7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ht="17.25" customHeight="1">
      <c r="A700" s="8"/>
      <c r="B700" s="7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ht="17.25" customHeight="1">
      <c r="A701" s="8"/>
      <c r="B701" s="7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ht="17.25" customHeight="1">
      <c r="A702" s="8"/>
      <c r="B702" s="7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ht="17.25" customHeight="1">
      <c r="A703" s="8"/>
      <c r="B703" s="7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ht="17.25" customHeight="1">
      <c r="A704" s="8"/>
      <c r="B704" s="7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ht="17.25" customHeight="1">
      <c r="A705" s="8"/>
      <c r="B705" s="7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ht="17.25" customHeight="1">
      <c r="A706" s="8"/>
      <c r="B706" s="7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ht="17.25" customHeight="1">
      <c r="A707" s="8"/>
      <c r="B707" s="7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ht="17.25" customHeight="1">
      <c r="A708" s="8"/>
      <c r="B708" s="7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ht="17.25" customHeight="1">
      <c r="A709" s="8"/>
      <c r="B709" s="7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ht="17.25" customHeight="1">
      <c r="A710" s="8"/>
      <c r="B710" s="7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ht="17.25" customHeight="1">
      <c r="A711" s="8"/>
      <c r="B711" s="7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ht="17.25" customHeight="1">
      <c r="A712" s="8"/>
      <c r="B712" s="7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ht="17.25" customHeight="1">
      <c r="A713" s="8"/>
      <c r="B713" s="7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ht="17.25" customHeight="1">
      <c r="A714" s="8"/>
      <c r="B714" s="7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ht="17.25" customHeight="1">
      <c r="A715" s="8"/>
      <c r="B715" s="7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ht="17.25" customHeight="1">
      <c r="A716" s="8"/>
      <c r="B716" s="7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ht="17.25" customHeight="1">
      <c r="A717" s="8"/>
      <c r="B717" s="7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ht="17.25" customHeight="1">
      <c r="A718" s="8"/>
      <c r="B718" s="7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ht="17.25" customHeight="1">
      <c r="A719" s="8"/>
      <c r="B719" s="7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ht="17.25" customHeight="1">
      <c r="A720" s="8"/>
      <c r="B720" s="7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ht="17.25" customHeight="1">
      <c r="A721" s="8"/>
      <c r="B721" s="7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ht="17.25" customHeight="1">
      <c r="A722" s="8"/>
      <c r="B722" s="7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ht="17.25" customHeight="1">
      <c r="A723" s="8"/>
      <c r="B723" s="7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ht="17.25" customHeight="1">
      <c r="A724" s="8"/>
      <c r="B724" s="7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ht="17.25" customHeight="1">
      <c r="A725" s="8"/>
      <c r="B725" s="7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ht="17.25" customHeight="1">
      <c r="A726" s="8"/>
      <c r="B726" s="7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ht="17.25" customHeight="1">
      <c r="A727" s="8"/>
      <c r="B727" s="7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ht="17.25" customHeight="1">
      <c r="A728" s="8"/>
      <c r="B728" s="7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ht="17.25" customHeight="1">
      <c r="A729" s="8"/>
      <c r="B729" s="7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ht="17.25" customHeight="1">
      <c r="A730" s="8"/>
      <c r="B730" s="7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ht="17.25" customHeight="1">
      <c r="A731" s="8"/>
      <c r="B731" s="7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ht="17.25" customHeight="1">
      <c r="A732" s="8"/>
      <c r="B732" s="7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ht="17.25" customHeight="1">
      <c r="A733" s="8"/>
      <c r="B733" s="7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ht="17.25" customHeight="1">
      <c r="A734" s="8"/>
      <c r="B734" s="7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ht="17.25" customHeight="1">
      <c r="A735" s="8"/>
      <c r="B735" s="7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ht="17.25" customHeight="1">
      <c r="A736" s="8"/>
      <c r="B736" s="7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ht="17.25" customHeight="1">
      <c r="A737" s="8"/>
      <c r="B737" s="7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ht="17.25" customHeight="1">
      <c r="A738" s="8"/>
      <c r="B738" s="7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ht="17.25" customHeight="1">
      <c r="A739" s="8"/>
      <c r="B739" s="7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ht="17.25" customHeight="1">
      <c r="A740" s="8"/>
      <c r="B740" s="7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ht="17.25" customHeight="1">
      <c r="A741" s="8"/>
      <c r="B741" s="7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ht="17.25" customHeight="1">
      <c r="A742" s="8"/>
      <c r="B742" s="7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ht="17.25" customHeight="1">
      <c r="A743" s="8"/>
      <c r="B743" s="7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ht="17.25" customHeight="1">
      <c r="A744" s="8"/>
      <c r="B744" s="7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ht="17.25" customHeight="1">
      <c r="A745" s="8"/>
      <c r="B745" s="7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ht="17.25" customHeight="1">
      <c r="A746" s="8"/>
      <c r="B746" s="7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ht="17.25" customHeight="1">
      <c r="A747" s="8"/>
      <c r="B747" s="7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ht="17.25" customHeight="1">
      <c r="A748" s="8"/>
      <c r="B748" s="7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ht="17.25" customHeight="1">
      <c r="A749" s="8"/>
      <c r="B749" s="7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ht="17.25" customHeight="1">
      <c r="A750" s="8"/>
      <c r="B750" s="7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ht="17.25" customHeight="1">
      <c r="A751" s="8"/>
      <c r="B751" s="7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ht="17.25" customHeight="1">
      <c r="A752" s="8"/>
      <c r="B752" s="7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ht="17.25" customHeight="1">
      <c r="A753" s="8"/>
      <c r="B753" s="7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ht="17.25" customHeight="1">
      <c r="A754" s="8"/>
      <c r="B754" s="7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ht="17.25" customHeight="1">
      <c r="A755" s="8"/>
      <c r="B755" s="7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ht="17.25" customHeight="1">
      <c r="A756" s="8"/>
      <c r="B756" s="7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ht="17.25" customHeight="1">
      <c r="A757" s="8"/>
      <c r="B757" s="7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ht="17.25" customHeight="1">
      <c r="A758" s="8"/>
      <c r="B758" s="7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ht="17.25" customHeight="1">
      <c r="A759" s="8"/>
      <c r="B759" s="7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ht="17.25" customHeight="1">
      <c r="A760" s="8"/>
      <c r="B760" s="7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ht="17.25" customHeight="1">
      <c r="A761" s="8"/>
      <c r="B761" s="7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ht="17.25" customHeight="1">
      <c r="A762" s="8"/>
      <c r="B762" s="7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ht="17.25" customHeight="1">
      <c r="A763" s="8"/>
      <c r="B763" s="7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ht="17.25" customHeight="1">
      <c r="A764" s="8"/>
      <c r="B764" s="7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ht="17.25" customHeight="1">
      <c r="A765" s="8"/>
      <c r="B765" s="7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ht="17.25" customHeight="1">
      <c r="A766" s="8"/>
      <c r="B766" s="7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ht="17.25" customHeight="1">
      <c r="A767" s="8"/>
      <c r="B767" s="7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ht="17.25" customHeight="1">
      <c r="A768" s="8"/>
      <c r="B768" s="7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ht="17.25" customHeight="1">
      <c r="A769" s="8"/>
      <c r="B769" s="7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ht="17.25" customHeight="1">
      <c r="A770" s="8"/>
      <c r="B770" s="7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ht="17.25" customHeight="1">
      <c r="A771" s="8"/>
      <c r="B771" s="7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ht="17.25" customHeight="1">
      <c r="A772" s="8"/>
      <c r="B772" s="7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ht="17.25" customHeight="1">
      <c r="A773" s="8"/>
      <c r="B773" s="7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ht="17.25" customHeight="1">
      <c r="A774" s="8"/>
      <c r="B774" s="7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ht="17.25" customHeight="1">
      <c r="A775" s="8"/>
      <c r="B775" s="7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ht="17.25" customHeight="1">
      <c r="A776" s="8"/>
      <c r="B776" s="7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ht="17.25" customHeight="1">
      <c r="A777" s="8"/>
      <c r="B777" s="7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ht="17.25" customHeight="1">
      <c r="A778" s="8"/>
      <c r="B778" s="7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ht="17.25" customHeight="1">
      <c r="A779" s="8"/>
      <c r="B779" s="7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ht="17.25" customHeight="1">
      <c r="A780" s="8"/>
      <c r="B780" s="7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ht="17.25" customHeight="1">
      <c r="A781" s="8"/>
      <c r="B781" s="7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ht="17.25" customHeight="1">
      <c r="A782" s="8"/>
      <c r="B782" s="7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ht="17.25" customHeight="1">
      <c r="A783" s="8"/>
      <c r="B783" s="7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ht="17.25" customHeight="1">
      <c r="A784" s="8"/>
      <c r="B784" s="7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ht="17.25" customHeight="1">
      <c r="A785" s="8"/>
      <c r="B785" s="7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ht="17.25" customHeight="1">
      <c r="A786" s="8"/>
      <c r="B786" s="7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ht="17.25" customHeight="1">
      <c r="A787" s="8"/>
      <c r="B787" s="7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ht="17.25" customHeight="1">
      <c r="A788" s="8"/>
      <c r="B788" s="7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ht="17.25" customHeight="1">
      <c r="A789" s="8"/>
      <c r="B789" s="7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ht="17.25" customHeight="1">
      <c r="A790" s="8"/>
      <c r="B790" s="7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ht="17.25" customHeight="1">
      <c r="A791" s="8"/>
      <c r="B791" s="7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ht="17.25" customHeight="1">
      <c r="A792" s="8"/>
      <c r="B792" s="7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ht="17.25" customHeight="1">
      <c r="A793" s="8"/>
      <c r="B793" s="7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ht="17.25" customHeight="1">
      <c r="A794" s="8"/>
      <c r="B794" s="7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ht="17.25" customHeight="1">
      <c r="A795" s="8"/>
      <c r="B795" s="7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ht="17.25" customHeight="1">
      <c r="A796" s="8"/>
      <c r="B796" s="7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ht="17.25" customHeight="1">
      <c r="A797" s="8"/>
      <c r="B797" s="7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ht="17.25" customHeight="1">
      <c r="A798" s="8"/>
      <c r="B798" s="7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ht="17.25" customHeight="1">
      <c r="A799" s="8"/>
      <c r="B799" s="7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ht="17.25" customHeight="1">
      <c r="A800" s="8"/>
      <c r="B800" s="7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ht="17.25" customHeight="1">
      <c r="A801" s="8"/>
      <c r="B801" s="7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ht="17.25" customHeight="1">
      <c r="A802" s="8"/>
      <c r="B802" s="7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ht="17.25" customHeight="1">
      <c r="A803" s="8"/>
      <c r="B803" s="7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ht="17.25" customHeight="1">
      <c r="A804" s="8"/>
      <c r="B804" s="7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ht="17.25" customHeight="1">
      <c r="A805" s="8"/>
      <c r="B805" s="7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ht="17.25" customHeight="1">
      <c r="A806" s="8"/>
      <c r="B806" s="7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ht="17.25" customHeight="1">
      <c r="A807" s="8"/>
      <c r="B807" s="7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ht="17.25" customHeight="1">
      <c r="A808" s="8"/>
      <c r="B808" s="7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ht="17.25" customHeight="1">
      <c r="A809" s="8"/>
      <c r="B809" s="7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ht="17.25" customHeight="1">
      <c r="A810" s="8"/>
      <c r="B810" s="7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ht="17.25" customHeight="1">
      <c r="A811" s="8"/>
      <c r="B811" s="7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ht="17.25" customHeight="1">
      <c r="A812" s="8"/>
      <c r="B812" s="7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ht="17.25" customHeight="1">
      <c r="A813" s="8"/>
      <c r="B813" s="7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ht="17.25" customHeight="1">
      <c r="A814" s="8"/>
      <c r="B814" s="7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ht="17.25" customHeight="1">
      <c r="A815" s="8"/>
      <c r="B815" s="7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ht="17.25" customHeight="1">
      <c r="A816" s="8"/>
      <c r="B816" s="7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ht="17.25" customHeight="1">
      <c r="A817" s="8"/>
      <c r="B817" s="7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ht="17.25" customHeight="1">
      <c r="A818" s="8"/>
      <c r="B818" s="7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ht="17.25" customHeight="1">
      <c r="A819" s="8"/>
      <c r="B819" s="7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ht="17.25" customHeight="1">
      <c r="A820" s="8"/>
      <c r="B820" s="7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ht="17.25" customHeight="1">
      <c r="A821" s="8"/>
      <c r="B821" s="7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ht="17.25" customHeight="1">
      <c r="A822" s="8"/>
      <c r="B822" s="7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ht="17.25" customHeight="1">
      <c r="A823" s="8"/>
      <c r="B823" s="7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ht="17.25" customHeight="1">
      <c r="A824" s="8"/>
      <c r="B824" s="7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ht="17.25" customHeight="1">
      <c r="A825" s="8"/>
      <c r="B825" s="7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ht="17.25" customHeight="1">
      <c r="A826" s="8"/>
      <c r="B826" s="7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ht="17.25" customHeight="1">
      <c r="A827" s="8"/>
      <c r="B827" s="7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ht="17.25" customHeight="1">
      <c r="A828" s="8"/>
      <c r="B828" s="7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ht="17.25" customHeight="1">
      <c r="A829" s="8"/>
      <c r="B829" s="7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ht="17.25" customHeight="1">
      <c r="A830" s="8"/>
      <c r="B830" s="7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ht="17.25" customHeight="1">
      <c r="A831" s="8"/>
      <c r="B831" s="7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ht="17.25" customHeight="1">
      <c r="A832" s="8"/>
      <c r="B832" s="7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ht="17.25" customHeight="1">
      <c r="A833" s="8"/>
      <c r="B833" s="7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ht="17.25" customHeight="1">
      <c r="A834" s="8"/>
      <c r="B834" s="7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ht="17.25" customHeight="1">
      <c r="A835" s="8"/>
      <c r="B835" s="7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ht="17.25" customHeight="1">
      <c r="A836" s="8"/>
      <c r="B836" s="7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ht="17.25" customHeight="1">
      <c r="A837" s="8"/>
      <c r="B837" s="7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ht="17.25" customHeight="1">
      <c r="A838" s="8"/>
      <c r="B838" s="7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ht="17.25" customHeight="1">
      <c r="A839" s="8"/>
      <c r="B839" s="7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ht="17.25" customHeight="1">
      <c r="A840" s="8"/>
      <c r="B840" s="7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ht="17.25" customHeight="1">
      <c r="A841" s="8"/>
      <c r="B841" s="7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ht="17.25" customHeight="1">
      <c r="A842" s="8"/>
      <c r="B842" s="7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ht="17.25" customHeight="1">
      <c r="A843" s="8"/>
      <c r="B843" s="7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ht="17.25" customHeight="1">
      <c r="A844" s="8"/>
      <c r="B844" s="7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ht="17.25" customHeight="1">
      <c r="A845" s="8"/>
      <c r="B845" s="7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ht="17.25" customHeight="1">
      <c r="A846" s="8"/>
      <c r="B846" s="7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ht="17.25" customHeight="1">
      <c r="A847" s="8"/>
      <c r="B847" s="7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ht="17.25" customHeight="1">
      <c r="A848" s="8"/>
      <c r="B848" s="7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ht="17.25" customHeight="1">
      <c r="A849" s="8"/>
      <c r="B849" s="7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ht="17.25" customHeight="1">
      <c r="A850" s="8"/>
      <c r="B850" s="7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ht="17.25" customHeight="1">
      <c r="A851" s="8"/>
      <c r="B851" s="7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ht="17.25" customHeight="1">
      <c r="A852" s="8"/>
      <c r="B852" s="7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ht="17.25" customHeight="1">
      <c r="A853" s="8"/>
      <c r="B853" s="7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ht="17.25" customHeight="1">
      <c r="A854" s="8"/>
      <c r="B854" s="7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ht="17.25" customHeight="1">
      <c r="A855" s="8"/>
      <c r="B855" s="7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ht="17.25" customHeight="1">
      <c r="A856" s="8"/>
      <c r="B856" s="7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ht="17.25" customHeight="1">
      <c r="A857" s="8"/>
      <c r="B857" s="7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ht="17.25" customHeight="1">
      <c r="A858" s="8"/>
      <c r="B858" s="7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ht="17.25" customHeight="1">
      <c r="A859" s="8"/>
      <c r="B859" s="7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ht="17.25" customHeight="1">
      <c r="A860" s="8"/>
      <c r="B860" s="7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ht="17.25" customHeight="1">
      <c r="A861" s="8"/>
      <c r="B861" s="7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ht="17.25" customHeight="1">
      <c r="A862" s="8"/>
      <c r="B862" s="7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ht="17.25" customHeight="1">
      <c r="A863" s="8"/>
      <c r="B863" s="7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ht="17.25" customHeight="1">
      <c r="A864" s="8"/>
      <c r="B864" s="7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ht="17.25" customHeight="1">
      <c r="A865" s="8"/>
      <c r="B865" s="7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ht="17.25" customHeight="1">
      <c r="A866" s="8"/>
      <c r="B866" s="7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ht="17.25" customHeight="1">
      <c r="A867" s="8"/>
      <c r="B867" s="7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ht="17.25" customHeight="1">
      <c r="A868" s="8"/>
      <c r="B868" s="7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ht="17.25" customHeight="1">
      <c r="A869" s="8"/>
      <c r="B869" s="7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ht="17.25" customHeight="1">
      <c r="A870" s="8"/>
      <c r="B870" s="7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ht="17.25" customHeight="1">
      <c r="A871" s="8"/>
      <c r="B871" s="7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ht="17.25" customHeight="1">
      <c r="A872" s="8"/>
      <c r="B872" s="7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ht="17.25" customHeight="1">
      <c r="A873" s="8"/>
      <c r="B873" s="7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ht="17.25" customHeight="1">
      <c r="A874" s="8"/>
      <c r="B874" s="7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ht="17.25" customHeight="1">
      <c r="A875" s="8"/>
      <c r="B875" s="7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ht="17.25" customHeight="1">
      <c r="A876" s="8"/>
      <c r="B876" s="7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ht="17.25" customHeight="1">
      <c r="A877" s="8"/>
      <c r="B877" s="7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ht="17.25" customHeight="1">
      <c r="A878" s="8"/>
      <c r="B878" s="7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ht="17.25" customHeight="1">
      <c r="A879" s="8"/>
      <c r="B879" s="7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ht="17.25" customHeight="1">
      <c r="A880" s="8"/>
      <c r="B880" s="7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ht="17.25" customHeight="1">
      <c r="A881" s="8"/>
      <c r="B881" s="7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ht="17.25" customHeight="1">
      <c r="A882" s="8"/>
      <c r="B882" s="7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ht="17.25" customHeight="1">
      <c r="A883" s="8"/>
      <c r="B883" s="7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ht="17.25" customHeight="1">
      <c r="A884" s="8"/>
      <c r="B884" s="7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ht="17.25" customHeight="1">
      <c r="A885" s="8"/>
      <c r="B885" s="7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ht="17.25" customHeight="1">
      <c r="A886" s="8"/>
      <c r="B886" s="7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ht="17.25" customHeight="1">
      <c r="A887" s="8"/>
      <c r="B887" s="7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ht="17.25" customHeight="1">
      <c r="A888" s="8"/>
      <c r="B888" s="7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ht="17.25" customHeight="1">
      <c r="A889" s="8"/>
      <c r="B889" s="7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ht="17.25" customHeight="1">
      <c r="A890" s="8"/>
      <c r="B890" s="7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ht="17.25" customHeight="1">
      <c r="A891" s="8"/>
      <c r="B891" s="7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ht="17.25" customHeight="1">
      <c r="A892" s="8"/>
      <c r="B892" s="7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ht="17.25" customHeight="1">
      <c r="A893" s="8"/>
      <c r="B893" s="7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ht="17.25" customHeight="1">
      <c r="A894" s="8"/>
      <c r="B894" s="7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ht="17.25" customHeight="1">
      <c r="A895" s="8"/>
      <c r="B895" s="7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ht="17.25" customHeight="1">
      <c r="A896" s="8"/>
      <c r="B896" s="7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ht="17.25" customHeight="1">
      <c r="A897" s="8"/>
      <c r="B897" s="7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ht="17.25" customHeight="1">
      <c r="A898" s="8"/>
      <c r="B898" s="7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ht="17.25" customHeight="1">
      <c r="A899" s="8"/>
      <c r="B899" s="7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ht="17.25" customHeight="1">
      <c r="A900" s="8"/>
      <c r="B900" s="7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ht="17.25" customHeight="1">
      <c r="A901" s="8"/>
      <c r="B901" s="7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ht="17.25" customHeight="1">
      <c r="A902" s="8"/>
      <c r="B902" s="7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ht="17.25" customHeight="1">
      <c r="A903" s="8"/>
      <c r="B903" s="7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ht="17.25" customHeight="1">
      <c r="A904" s="8"/>
      <c r="B904" s="7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ht="17.25" customHeight="1">
      <c r="A905" s="8"/>
      <c r="B905" s="7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ht="17.25" customHeight="1">
      <c r="A906" s="8"/>
      <c r="B906" s="7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ht="17.25" customHeight="1">
      <c r="A907" s="8"/>
      <c r="B907" s="7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ht="17.25" customHeight="1">
      <c r="A908" s="8"/>
      <c r="B908" s="7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ht="17.25" customHeight="1">
      <c r="A909" s="8"/>
      <c r="B909" s="7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ht="17.25" customHeight="1">
      <c r="A910" s="8"/>
      <c r="B910" s="7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ht="17.25" customHeight="1">
      <c r="A911" s="8"/>
      <c r="B911" s="7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ht="17.25" customHeight="1">
      <c r="A912" s="8"/>
      <c r="B912" s="7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ht="17.25" customHeight="1">
      <c r="A913" s="8"/>
      <c r="B913" s="7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ht="17.25" customHeight="1">
      <c r="A914" s="8"/>
      <c r="B914" s="7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ht="17.25" customHeight="1">
      <c r="A915" s="8"/>
      <c r="B915" s="7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ht="17.25" customHeight="1">
      <c r="A916" s="8"/>
      <c r="B916" s="7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ht="17.25" customHeight="1">
      <c r="A917" s="8"/>
      <c r="B917" s="7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ht="17.25" customHeight="1">
      <c r="A918" s="8"/>
      <c r="B918" s="7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ht="17.25" customHeight="1">
      <c r="A919" s="8"/>
      <c r="B919" s="7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ht="17.25" customHeight="1">
      <c r="A920" s="8"/>
      <c r="B920" s="7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ht="17.25" customHeight="1">
      <c r="A921" s="8"/>
      <c r="B921" s="7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ht="17.25" customHeight="1">
      <c r="A922" s="8"/>
      <c r="B922" s="7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ht="17.25" customHeight="1">
      <c r="A923" s="8"/>
      <c r="B923" s="7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ht="17.25" customHeight="1">
      <c r="A924" s="8"/>
      <c r="B924" s="7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ht="17.25" customHeight="1">
      <c r="A925" s="8"/>
      <c r="B925" s="7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ht="17.25" customHeight="1">
      <c r="A926" s="8"/>
      <c r="B926" s="7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ht="17.25" customHeight="1">
      <c r="A927" s="8"/>
      <c r="B927" s="7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ht="17.25" customHeight="1">
      <c r="A928" s="8"/>
      <c r="B928" s="7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ht="17.25" customHeight="1">
      <c r="A929" s="8"/>
      <c r="B929" s="7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ht="17.25" customHeight="1">
      <c r="A930" s="8"/>
      <c r="B930" s="7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ht="17.25" customHeight="1">
      <c r="A931" s="8"/>
      <c r="B931" s="7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ht="17.25" customHeight="1">
      <c r="A932" s="8"/>
      <c r="B932" s="7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ht="17.25" customHeight="1">
      <c r="A933" s="8"/>
      <c r="B933" s="7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ht="17.25" customHeight="1">
      <c r="A934" s="8"/>
      <c r="B934" s="7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ht="17.25" customHeight="1">
      <c r="A935" s="8"/>
      <c r="B935" s="7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ht="17.25" customHeight="1">
      <c r="A936" s="8"/>
      <c r="B936" s="7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ht="17.25" customHeight="1">
      <c r="A937" s="8"/>
      <c r="B937" s="7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ht="17.25" customHeight="1">
      <c r="A938" s="8"/>
      <c r="B938" s="7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ht="17.25" customHeight="1">
      <c r="A939" s="8"/>
      <c r="B939" s="7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ht="17.25" customHeight="1">
      <c r="A940" s="8"/>
      <c r="B940" s="7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ht="17.25" customHeight="1">
      <c r="A941" s="8"/>
      <c r="B941" s="7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ht="17.25" customHeight="1">
      <c r="A942" s="8"/>
      <c r="B942" s="7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ht="17.25" customHeight="1">
      <c r="A943" s="8"/>
      <c r="B943" s="7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ht="17.25" customHeight="1">
      <c r="A944" s="8"/>
      <c r="B944" s="7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ht="17.25" customHeight="1">
      <c r="A945" s="8"/>
      <c r="B945" s="7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ht="17.25" customHeight="1">
      <c r="A946" s="8"/>
      <c r="B946" s="7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ht="17.25" customHeight="1">
      <c r="A947" s="8"/>
      <c r="B947" s="7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ht="17.25" customHeight="1">
      <c r="A948" s="8"/>
      <c r="B948" s="7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ht="17.25" customHeight="1">
      <c r="A949" s="8"/>
      <c r="B949" s="7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ht="17.25" customHeight="1">
      <c r="A950" s="8"/>
      <c r="B950" s="7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ht="17.25" customHeight="1">
      <c r="A951" s="8"/>
      <c r="B951" s="7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ht="17.25" customHeight="1">
      <c r="A952" s="8"/>
      <c r="B952" s="7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ht="17.25" customHeight="1">
      <c r="A953" s="8"/>
      <c r="B953" s="7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ht="17.25" customHeight="1">
      <c r="A954" s="8"/>
      <c r="B954" s="7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ht="17.25" customHeight="1">
      <c r="A955" s="8"/>
      <c r="B955" s="7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ht="17.25" customHeight="1">
      <c r="A956" s="8"/>
      <c r="B956" s="7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ht="17.25" customHeight="1">
      <c r="A957" s="8"/>
      <c r="B957" s="7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ht="17.25" customHeight="1">
      <c r="A958" s="8"/>
      <c r="B958" s="7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ht="17.25" customHeight="1">
      <c r="A959" s="8"/>
      <c r="B959" s="7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ht="17.25" customHeight="1">
      <c r="A960" s="8"/>
      <c r="B960" s="7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ht="17.25" customHeight="1">
      <c r="A961" s="8"/>
      <c r="B961" s="7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ht="17.25" customHeight="1">
      <c r="A962" s="8"/>
      <c r="B962" s="7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ht="17.25" customHeight="1">
      <c r="A963" s="8"/>
      <c r="B963" s="7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ht="17.25" customHeight="1">
      <c r="A964" s="8"/>
      <c r="B964" s="7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ht="17.25" customHeight="1">
      <c r="A965" s="8"/>
      <c r="B965" s="7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ht="17.25" customHeight="1">
      <c r="A966" s="8"/>
      <c r="B966" s="7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ht="17.25" customHeight="1">
      <c r="A967" s="8"/>
      <c r="B967" s="7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ht="17.25" customHeight="1">
      <c r="A968" s="8"/>
      <c r="B968" s="7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ht="17.25" customHeight="1">
      <c r="A969" s="8"/>
      <c r="B969" s="7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ht="17.25" customHeight="1">
      <c r="A970" s="8"/>
      <c r="B970" s="7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ht="17.25" customHeight="1">
      <c r="A971" s="8"/>
      <c r="B971" s="7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ht="17.25" customHeight="1">
      <c r="A972" s="8"/>
      <c r="B972" s="7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ht="17.25" customHeight="1">
      <c r="A973" s="8"/>
      <c r="B973" s="7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ht="17.25" customHeight="1">
      <c r="A974" s="8"/>
      <c r="B974" s="7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ht="17.25" customHeight="1">
      <c r="A975" s="8"/>
      <c r="B975" s="7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ht="17.25" customHeight="1">
      <c r="A976" s="8"/>
      <c r="B976" s="7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ht="17.25" customHeight="1">
      <c r="A977" s="8"/>
      <c r="B977" s="7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ht="17.25" customHeight="1">
      <c r="A978" s="8"/>
      <c r="B978" s="7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ht="17.25" customHeight="1">
      <c r="A979" s="8"/>
      <c r="B979" s="7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ht="17.25" customHeight="1">
      <c r="A980" s="8"/>
      <c r="B980" s="7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ht="17.25" customHeight="1">
      <c r="A981" s="8"/>
      <c r="B981" s="7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ht="17.25" customHeight="1">
      <c r="A982" s="8"/>
      <c r="B982" s="7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ht="17.25" customHeight="1">
      <c r="A983" s="8"/>
      <c r="B983" s="7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ht="17.25" customHeight="1">
      <c r="A984" s="8"/>
      <c r="B984" s="7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ht="17.25" customHeight="1">
      <c r="A985" s="8"/>
      <c r="B985" s="7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ht="17.25" customHeight="1">
      <c r="A986" s="8"/>
      <c r="B986" s="7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ht="17.25" customHeight="1">
      <c r="A987" s="8"/>
      <c r="B987" s="7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ht="17.25" customHeight="1">
      <c r="A988" s="8"/>
      <c r="B988" s="7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ht="17.25" customHeight="1">
      <c r="A989" s="8"/>
      <c r="B989" s="7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ht="17.25" customHeight="1">
      <c r="A990" s="8"/>
      <c r="B990" s="7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ht="17.25" customHeight="1">
      <c r="A991" s="8"/>
      <c r="B991" s="7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ht="17.25" customHeight="1">
      <c r="A992" s="8"/>
      <c r="B992" s="7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ht="17.25" customHeight="1">
      <c r="A993" s="8"/>
      <c r="B993" s="7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ht="17.25" customHeight="1">
      <c r="A994" s="8"/>
      <c r="B994" s="7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ht="17.25" customHeight="1">
      <c r="A995" s="8"/>
      <c r="B995" s="7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ht="17.25" customHeight="1">
      <c r="A996" s="8"/>
      <c r="B996" s="7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ht="17.25" customHeight="1">
      <c r="A997" s="8"/>
      <c r="B997" s="7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ht="17.25" customHeight="1">
      <c r="A998" s="8"/>
      <c r="B998" s="7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ht="17.25" customHeight="1">
      <c r="A999" s="8"/>
      <c r="B999" s="7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  <row r="1000" ht="17.25" customHeight="1">
      <c r="A1000" s="8"/>
      <c r="B1000" s="7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</row>
    <row r="1001" ht="17.25" customHeight="1">
      <c r="A1001" s="8"/>
      <c r="B1001" s="7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</row>
    <row r="1002" ht="17.25" customHeight="1">
      <c r="A1002" s="8"/>
      <c r="B1002" s="7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</row>
  </sheetData>
  <mergeCells count="8">
    <mergeCell ref="A1:D1"/>
    <mergeCell ref="A3:H3"/>
    <mergeCell ref="A5:C5"/>
    <mergeCell ref="A23:B23"/>
    <mergeCell ref="A24:B24"/>
    <mergeCell ref="A25:D25"/>
    <mergeCell ref="A26:F26"/>
    <mergeCell ref="A27:E27"/>
  </mergeCells>
  <dataValidations>
    <dataValidation type="list" allowBlank="1" showErrorMessage="1" sqref="B20">
      <formula1>M5:M8</formula1>
    </dataValidation>
    <dataValidation type="list" allowBlank="1" showErrorMessage="1" sqref="B11">
      <formula1>K5:K6</formula1>
    </dataValidation>
    <dataValidation type="list" allowBlank="1" showErrorMessage="1" sqref="B19">
      <formula1>L5:L8</formula1>
    </dataValidation>
    <dataValidation type="list" allowBlank="1" showErrorMessage="1" sqref="B21">
      <formula1>N5:N8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38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5">
        <f>Inputs!B8</f>
        <v>46055</v>
      </c>
      <c r="B3" s="28" t="s">
        <v>39</v>
      </c>
      <c r="C3" s="36"/>
      <c r="D3" s="36"/>
      <c r="E3" s="36"/>
      <c r="F3" s="36"/>
      <c r="G3" s="36"/>
      <c r="H3" s="36"/>
      <c r="I3" s="36"/>
      <c r="J3" s="36"/>
    </row>
    <row r="4" ht="17.25" customHeight="1">
      <c r="A4" s="37"/>
      <c r="B4" s="38"/>
      <c r="C4" s="39" t="s">
        <v>40</v>
      </c>
      <c r="D4" s="40"/>
      <c r="E4" s="39" t="s">
        <v>41</v>
      </c>
      <c r="F4" s="40"/>
      <c r="G4" s="39" t="s">
        <v>42</v>
      </c>
      <c r="H4" s="40"/>
      <c r="I4" s="39" t="s">
        <v>43</v>
      </c>
      <c r="J4" s="40"/>
    </row>
    <row r="5" ht="17.25" customHeight="1">
      <c r="A5" s="41" t="s">
        <v>27</v>
      </c>
      <c r="B5" s="41" t="s">
        <v>44</v>
      </c>
      <c r="C5" s="42">
        <f>IF((Inputs!B11="kg"),MROUND((Inputs!B15*0.8),2.5),MROUND((Inputs!B15*0.8),5))</f>
        <v>87.5</v>
      </c>
      <c r="D5" s="43" t="s">
        <v>45</v>
      </c>
      <c r="E5" s="42">
        <f t="shared" ref="E5:E6" si="1">C5</f>
        <v>87.5</v>
      </c>
      <c r="F5" s="43" t="s">
        <v>45</v>
      </c>
      <c r="G5" s="42">
        <f>E5</f>
        <v>87.5</v>
      </c>
      <c r="H5" s="43" t="s">
        <v>45</v>
      </c>
      <c r="I5" s="42">
        <f>G5</f>
        <v>87.5</v>
      </c>
      <c r="J5" s="44" t="s">
        <v>46</v>
      </c>
    </row>
    <row r="6" ht="17.25" customHeight="1">
      <c r="A6" s="45" t="s">
        <v>28</v>
      </c>
      <c r="B6" s="45" t="s">
        <v>44</v>
      </c>
      <c r="C6" s="46">
        <f>IF((Inputs!B11="kg"),MROUND((Inputs!B16*0.8),2.5),MROUND((Inputs!B16*0.8),5))</f>
        <v>132.5</v>
      </c>
      <c r="D6" s="47" t="s">
        <v>45</v>
      </c>
      <c r="E6" s="46">
        <f t="shared" si="1"/>
        <v>132.5</v>
      </c>
      <c r="F6" s="47" t="s">
        <v>45</v>
      </c>
      <c r="G6" s="48"/>
      <c r="H6" s="49"/>
      <c r="I6" s="48"/>
      <c r="J6" s="49"/>
    </row>
    <row r="7" ht="17.25" customHeight="1">
      <c r="A7" s="45" t="s">
        <v>47</v>
      </c>
      <c r="B7" s="45" t="s">
        <v>44</v>
      </c>
      <c r="C7" s="46"/>
      <c r="D7" s="50"/>
      <c r="E7" s="46"/>
      <c r="F7" s="50"/>
      <c r="G7" s="46"/>
      <c r="H7" s="50"/>
      <c r="I7" s="48"/>
      <c r="J7" s="49"/>
    </row>
    <row r="8" ht="17.25" customHeight="1">
      <c r="A8" s="51" t="s">
        <v>48</v>
      </c>
      <c r="B8" s="51" t="s">
        <v>44</v>
      </c>
      <c r="C8" s="52"/>
      <c r="D8" s="53"/>
      <c r="E8" s="52"/>
      <c r="F8" s="53"/>
      <c r="G8" s="52"/>
      <c r="H8" s="53"/>
      <c r="I8" s="48"/>
      <c r="J8" s="49"/>
    </row>
    <row r="9" ht="17.25" customHeight="1">
      <c r="A9" s="13"/>
      <c r="B9" s="13"/>
      <c r="C9" s="13"/>
      <c r="D9" s="13"/>
      <c r="E9" s="13"/>
      <c r="F9" s="13"/>
      <c r="G9" s="13"/>
      <c r="H9" s="13"/>
      <c r="I9" s="54"/>
      <c r="J9" s="54"/>
    </row>
    <row r="10" ht="17.25" customHeight="1">
      <c r="A10" s="35">
        <f>Inputs!B8+1</f>
        <v>46056</v>
      </c>
      <c r="B10" s="28" t="s">
        <v>39</v>
      </c>
      <c r="C10" s="36"/>
      <c r="D10" s="36"/>
      <c r="E10" s="36"/>
      <c r="F10" s="36"/>
      <c r="G10" s="36"/>
      <c r="H10" s="36"/>
      <c r="I10" s="36"/>
      <c r="J10" s="36"/>
    </row>
    <row r="11" ht="17.25" customHeight="1">
      <c r="A11" s="36"/>
      <c r="B11" s="38"/>
      <c r="C11" s="39" t="s">
        <v>40</v>
      </c>
      <c r="D11" s="40"/>
      <c r="E11" s="39" t="s">
        <v>41</v>
      </c>
      <c r="F11" s="40"/>
      <c r="G11" s="39" t="s">
        <v>42</v>
      </c>
      <c r="H11" s="40"/>
      <c r="I11" s="39" t="s">
        <v>43</v>
      </c>
      <c r="J11" s="40"/>
    </row>
    <row r="12" ht="17.25" customHeight="1">
      <c r="A12" s="55" t="s">
        <v>49</v>
      </c>
      <c r="B12" s="41" t="s">
        <v>44</v>
      </c>
      <c r="C12" s="42">
        <f>IF((Inputs!B11="kg"),MROUND((Inputs!B14*0.5),2.5),MROUND((Inputs!B14*0.5),5))</f>
        <v>47.5</v>
      </c>
      <c r="D12" s="44" t="s">
        <v>50</v>
      </c>
      <c r="E12" s="42">
        <f>IF((Inputs!B11="kg"),MROUND((Inputs!B14*0.675),2.5),MROUND((Inputs!B14*0.675),5))</f>
        <v>65</v>
      </c>
      <c r="F12" s="44" t="s">
        <v>50</v>
      </c>
      <c r="G12" s="42">
        <f>IF((Inputs!B11="kg"),MROUND((Inputs!B14*0.75),2.5),MROUND((Inputs!B14*0.75),5))</f>
        <v>72.5</v>
      </c>
      <c r="H12" s="44" t="s">
        <v>51</v>
      </c>
      <c r="I12" s="42">
        <f>IF((Inputs!B11="kg"),MROUND((Inputs!B14*0.775),2.5),MROUND((Inputs!B14*0.775),5))</f>
        <v>75</v>
      </c>
      <c r="J12" s="44" t="s">
        <v>46</v>
      </c>
      <c r="K12" s="56" t="s">
        <v>52</v>
      </c>
    </row>
    <row r="13" ht="17.25" customHeight="1">
      <c r="A13" s="45" t="str">
        <f>Inputs!B19</f>
        <v>Dumbbell Row</v>
      </c>
      <c r="B13" s="45" t="s">
        <v>44</v>
      </c>
      <c r="C13" s="46"/>
      <c r="D13" s="50" t="s">
        <v>50</v>
      </c>
      <c r="E13" s="46"/>
      <c r="F13" s="50" t="s">
        <v>50</v>
      </c>
      <c r="G13" s="46"/>
      <c r="H13" s="50" t="s">
        <v>51</v>
      </c>
      <c r="I13" s="46"/>
      <c r="J13" s="50" t="s">
        <v>46</v>
      </c>
      <c r="K13" s="56" t="s">
        <v>53</v>
      </c>
    </row>
    <row r="14" ht="17.25" customHeight="1">
      <c r="A14" s="45" t="str">
        <f>Inputs!B20</f>
        <v>Military Press</v>
      </c>
      <c r="B14" s="45" t="s">
        <v>44</v>
      </c>
      <c r="C14" s="57">
        <v>32.5</v>
      </c>
      <c r="D14" s="50" t="s">
        <v>54</v>
      </c>
      <c r="E14" s="57">
        <v>32.5</v>
      </c>
      <c r="F14" s="47" t="s">
        <v>55</v>
      </c>
      <c r="G14" s="57">
        <v>32.5</v>
      </c>
      <c r="H14" s="47" t="s">
        <v>56</v>
      </c>
      <c r="I14" s="46"/>
      <c r="J14" s="50" t="s">
        <v>51</v>
      </c>
    </row>
    <row r="15" ht="17.25" customHeight="1">
      <c r="A15" s="45" t="str">
        <f>Inputs!B21</f>
        <v>Weighted Pull-up</v>
      </c>
      <c r="B15" s="45" t="s">
        <v>44</v>
      </c>
      <c r="C15" s="57">
        <v>0.0</v>
      </c>
      <c r="D15" s="47" t="s">
        <v>57</v>
      </c>
      <c r="E15" s="57">
        <v>0.0</v>
      </c>
      <c r="F15" s="47" t="s">
        <v>58</v>
      </c>
      <c r="G15" s="57">
        <v>0.0</v>
      </c>
      <c r="H15" s="47" t="s">
        <v>59</v>
      </c>
      <c r="I15" s="57">
        <v>0.0</v>
      </c>
      <c r="J15" s="50" t="s">
        <v>51</v>
      </c>
    </row>
    <row r="16" ht="17.25" customHeight="1">
      <c r="A16" s="45" t="s">
        <v>47</v>
      </c>
      <c r="B16" s="45" t="s">
        <v>44</v>
      </c>
      <c r="C16" s="46"/>
      <c r="D16" s="50" t="s">
        <v>60</v>
      </c>
      <c r="E16" s="46"/>
      <c r="F16" s="50" t="s">
        <v>60</v>
      </c>
      <c r="G16" s="46"/>
      <c r="H16" s="50" t="s">
        <v>60</v>
      </c>
      <c r="I16" s="48"/>
      <c r="J16" s="49" t="s">
        <v>60</v>
      </c>
    </row>
    <row r="17" ht="17.25" customHeight="1">
      <c r="A17" s="51" t="s">
        <v>48</v>
      </c>
      <c r="B17" s="51" t="s">
        <v>44</v>
      </c>
      <c r="C17" s="52"/>
      <c r="D17" s="53" t="s">
        <v>60</v>
      </c>
      <c r="E17" s="52"/>
      <c r="F17" s="53" t="s">
        <v>60</v>
      </c>
      <c r="G17" s="52"/>
      <c r="H17" s="53" t="s">
        <v>60</v>
      </c>
      <c r="I17" s="58"/>
      <c r="J17" s="59" t="s">
        <v>60</v>
      </c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5">
        <f>Inputs!B8+3</f>
        <v>46058</v>
      </c>
      <c r="B19" s="28" t="s">
        <v>39</v>
      </c>
      <c r="C19" s="36"/>
      <c r="D19" s="36"/>
      <c r="E19" s="36"/>
      <c r="F19" s="36"/>
      <c r="G19" s="36"/>
      <c r="H19" s="36"/>
      <c r="I19" s="36"/>
      <c r="J19" s="36"/>
    </row>
    <row r="20" ht="17.25" customHeight="1">
      <c r="A20" s="36"/>
      <c r="B20" s="38"/>
      <c r="C20" s="39" t="s">
        <v>40</v>
      </c>
      <c r="D20" s="40"/>
      <c r="E20" s="39" t="s">
        <v>41</v>
      </c>
      <c r="F20" s="40"/>
      <c r="G20" s="39" t="s">
        <v>42</v>
      </c>
      <c r="H20" s="40"/>
      <c r="I20" s="39" t="s">
        <v>43</v>
      </c>
      <c r="J20" s="40"/>
    </row>
    <row r="21" ht="17.25" customHeight="1">
      <c r="A21" s="41" t="s">
        <v>26</v>
      </c>
      <c r="B21" s="41" t="s">
        <v>44</v>
      </c>
      <c r="C21" s="42">
        <f>IF((Inputs!B11="kg"),MROUND((Inputs!B14*0.5),2.5),MROUND((Inputs!B14*0.5),5))</f>
        <v>47.5</v>
      </c>
      <c r="D21" s="44" t="s">
        <v>50</v>
      </c>
      <c r="E21" s="42">
        <f>IF((Inputs!B11="kg"),MROUND((Inputs!B14*0.675),2.5),MROUND((Inputs!B14*0.675),5))</f>
        <v>65</v>
      </c>
      <c r="F21" s="44" t="s">
        <v>50</v>
      </c>
      <c r="G21" s="42">
        <f>IF((Inputs!B11="kg"),MROUND((Inputs!B14*0.75),2.5),MROUND((Inputs!B14*0.75),5))</f>
        <v>72.5</v>
      </c>
      <c r="H21" s="44" t="s">
        <v>51</v>
      </c>
      <c r="I21" s="42">
        <f>IF((Inputs!B11="kg"),MROUND((Inputs!B14*0.775),2.5),MROUND((Inputs!B14*0.775),5))</f>
        <v>75</v>
      </c>
      <c r="J21" s="44" t="s">
        <v>46</v>
      </c>
      <c r="K21" s="56" t="s">
        <v>61</v>
      </c>
    </row>
    <row r="22" ht="17.25" customHeight="1">
      <c r="A22" s="45" t="str">
        <f>Inputs!B19</f>
        <v>Dumbbell Row</v>
      </c>
      <c r="B22" s="45" t="s">
        <v>44</v>
      </c>
      <c r="C22" s="57">
        <v>12.5</v>
      </c>
      <c r="D22" s="50" t="s">
        <v>50</v>
      </c>
      <c r="E22" s="57">
        <v>12.5</v>
      </c>
      <c r="F22" s="50" t="s">
        <v>50</v>
      </c>
      <c r="G22" s="57">
        <v>12.5</v>
      </c>
      <c r="H22" s="50" t="s">
        <v>51</v>
      </c>
      <c r="I22" s="57">
        <v>15.0</v>
      </c>
      <c r="J22" s="50" t="s">
        <v>46</v>
      </c>
    </row>
    <row r="23" ht="17.25" customHeight="1">
      <c r="A23" s="45" t="str">
        <f>Inputs!B20</f>
        <v>Military Press</v>
      </c>
      <c r="B23" s="45" t="s">
        <v>44</v>
      </c>
      <c r="C23" s="57">
        <v>30.0</v>
      </c>
      <c r="D23" s="50" t="s">
        <v>54</v>
      </c>
      <c r="E23" s="57">
        <v>30.0</v>
      </c>
      <c r="F23" s="50" t="s">
        <v>54</v>
      </c>
      <c r="G23" s="57">
        <v>30.0</v>
      </c>
      <c r="H23" s="47" t="s">
        <v>62</v>
      </c>
      <c r="I23" s="57">
        <v>30.0</v>
      </c>
      <c r="J23" s="50" t="s">
        <v>51</v>
      </c>
    </row>
    <row r="24" ht="17.25" customHeight="1">
      <c r="A24" s="45" t="str">
        <f>Inputs!B21</f>
        <v>Weighted Pull-up</v>
      </c>
      <c r="B24" s="45" t="s">
        <v>44</v>
      </c>
      <c r="C24" s="57">
        <v>-40.0</v>
      </c>
      <c r="D24" s="50" t="s">
        <v>54</v>
      </c>
      <c r="E24" s="57">
        <v>-50.0</v>
      </c>
      <c r="F24" s="47" t="s">
        <v>63</v>
      </c>
      <c r="G24" s="57">
        <v>0.0</v>
      </c>
      <c r="H24" s="47" t="s">
        <v>64</v>
      </c>
      <c r="I24" s="57">
        <v>0.0</v>
      </c>
      <c r="J24" s="47" t="s">
        <v>65</v>
      </c>
    </row>
    <row r="25" ht="17.25" customHeight="1">
      <c r="A25" s="45" t="s">
        <v>47</v>
      </c>
      <c r="B25" s="45" t="s">
        <v>44</v>
      </c>
      <c r="C25" s="46"/>
      <c r="D25" s="50" t="s">
        <v>60</v>
      </c>
      <c r="E25" s="46"/>
      <c r="F25" s="50" t="s">
        <v>60</v>
      </c>
      <c r="G25" s="46"/>
      <c r="H25" s="50" t="s">
        <v>60</v>
      </c>
      <c r="I25" s="48"/>
      <c r="J25" s="60" t="s">
        <v>66</v>
      </c>
    </row>
    <row r="26" ht="17.25" customHeight="1">
      <c r="A26" s="51" t="s">
        <v>48</v>
      </c>
      <c r="B26" s="51" t="s">
        <v>44</v>
      </c>
      <c r="C26" s="52"/>
      <c r="D26" s="53" t="s">
        <v>60</v>
      </c>
      <c r="E26" s="52"/>
      <c r="F26" s="53" t="s">
        <v>60</v>
      </c>
      <c r="G26" s="52"/>
      <c r="H26" s="53" t="s">
        <v>60</v>
      </c>
      <c r="I26" s="58"/>
      <c r="J26" s="59" t="s">
        <v>60</v>
      </c>
    </row>
    <row r="27" ht="17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ht="18.0" customHeight="1">
      <c r="A28" s="35">
        <f>Inputs!B8+4</f>
        <v>46059</v>
      </c>
      <c r="B28" s="28" t="s">
        <v>39</v>
      </c>
      <c r="C28" s="36"/>
      <c r="D28" s="36"/>
      <c r="E28" s="36"/>
      <c r="F28" s="36"/>
      <c r="G28" s="36"/>
      <c r="H28" s="36"/>
      <c r="I28" s="36"/>
      <c r="J28" s="36"/>
    </row>
    <row r="29" ht="16.5" customHeight="1">
      <c r="A29" s="37"/>
      <c r="B29" s="38"/>
      <c r="C29" s="39" t="s">
        <v>40</v>
      </c>
      <c r="D29" s="40"/>
      <c r="E29" s="39" t="s">
        <v>41</v>
      </c>
      <c r="F29" s="40"/>
      <c r="G29" s="39" t="s">
        <v>42</v>
      </c>
      <c r="H29" s="40"/>
      <c r="I29" s="39" t="s">
        <v>43</v>
      </c>
      <c r="J29" s="40"/>
    </row>
    <row r="30" ht="18.0" customHeight="1">
      <c r="A30" s="41" t="s">
        <v>27</v>
      </c>
      <c r="B30" s="41" t="s">
        <v>44</v>
      </c>
      <c r="C30" s="42">
        <f>IF((Inputs!B36="kg"),MROUND((Inputs!B15*0.7),2.5),MROUND((Inputs!B15*0.7),5))</f>
        <v>75</v>
      </c>
      <c r="D30" s="44" t="s">
        <v>51</v>
      </c>
      <c r="E30" s="42">
        <f t="shared" ref="E30:E31" si="2">C30</f>
        <v>75</v>
      </c>
      <c r="F30" s="44" t="s">
        <v>51</v>
      </c>
      <c r="G30" s="42">
        <f>E30</f>
        <v>75</v>
      </c>
      <c r="H30" s="44" t="s">
        <v>51</v>
      </c>
      <c r="I30" s="42">
        <f>G30</f>
        <v>75</v>
      </c>
      <c r="J30" s="44" t="s">
        <v>51</v>
      </c>
      <c r="K30" s="56" t="s">
        <v>67</v>
      </c>
    </row>
    <row r="31" ht="18.0" customHeight="1">
      <c r="A31" s="45" t="s">
        <v>28</v>
      </c>
      <c r="B31" s="45" t="s">
        <v>44</v>
      </c>
      <c r="C31" s="46">
        <f>IF((Inputs!B36="kg"),MROUND((Inputs!B16*0.7),2.5),MROUND((Inputs!B16*0.7),5))</f>
        <v>115</v>
      </c>
      <c r="D31" s="50" t="s">
        <v>51</v>
      </c>
      <c r="E31" s="46">
        <f t="shared" si="2"/>
        <v>115</v>
      </c>
      <c r="F31" s="50" t="s">
        <v>51</v>
      </c>
      <c r="G31" s="48"/>
      <c r="H31" s="49"/>
      <c r="I31" s="48"/>
      <c r="J31" s="49"/>
      <c r="K31" s="56" t="s">
        <v>68</v>
      </c>
    </row>
    <row r="32" ht="18.0" customHeight="1">
      <c r="A32" s="45" t="s">
        <v>47</v>
      </c>
      <c r="B32" s="45" t="s">
        <v>44</v>
      </c>
      <c r="C32" s="46"/>
      <c r="D32" s="50"/>
      <c r="E32" s="46"/>
      <c r="F32" s="50"/>
      <c r="G32" s="46"/>
      <c r="H32" s="50"/>
      <c r="I32" s="48"/>
      <c r="J32" s="49"/>
    </row>
    <row r="33" ht="18.0" customHeight="1">
      <c r="A33" s="51" t="s">
        <v>48</v>
      </c>
      <c r="B33" s="51" t="s">
        <v>44</v>
      </c>
      <c r="C33" s="52"/>
      <c r="D33" s="53"/>
      <c r="E33" s="52"/>
      <c r="F33" s="53"/>
      <c r="G33" s="52"/>
      <c r="H33" s="53"/>
      <c r="I33" s="48"/>
      <c r="J33" s="49"/>
    </row>
    <row r="34" ht="18.0" customHeight="1">
      <c r="A34" s="13"/>
      <c r="B34" s="13"/>
      <c r="C34" s="13"/>
      <c r="D34" s="13"/>
      <c r="E34" s="13"/>
      <c r="F34" s="13"/>
      <c r="G34" s="13"/>
      <c r="H34" s="13"/>
      <c r="I34" s="54"/>
      <c r="J34" s="54"/>
    </row>
    <row r="35" ht="17.25" customHeight="1">
      <c r="A35" s="35">
        <f>Inputs!B8+5</f>
        <v>46060</v>
      </c>
      <c r="B35" s="28" t="s">
        <v>39</v>
      </c>
      <c r="C35" s="36"/>
      <c r="D35" s="36"/>
      <c r="E35" s="36"/>
      <c r="F35" s="36"/>
      <c r="G35" s="36"/>
      <c r="H35" s="36"/>
      <c r="I35" s="36"/>
      <c r="J35" s="36"/>
    </row>
    <row r="36" ht="17.25" customHeight="1">
      <c r="A36" s="36"/>
      <c r="B36" s="38"/>
      <c r="C36" s="39" t="s">
        <v>40</v>
      </c>
      <c r="D36" s="40"/>
      <c r="E36" s="39" t="s">
        <v>41</v>
      </c>
      <c r="F36" s="40"/>
      <c r="G36" s="39" t="s">
        <v>42</v>
      </c>
      <c r="H36" s="40"/>
      <c r="I36" s="39" t="s">
        <v>43</v>
      </c>
      <c r="J36" s="40"/>
    </row>
    <row r="37" ht="17.25" customHeight="1">
      <c r="A37" s="41" t="s">
        <v>26</v>
      </c>
      <c r="B37" s="41" t="s">
        <v>44</v>
      </c>
      <c r="C37" s="42">
        <f>IF((Inputs!B11="kg"),MROUND((Inputs!B14*0.8),2.5),MROUND((Inputs!B14*0.8),5))</f>
        <v>77.5</v>
      </c>
      <c r="D37" s="43" t="s">
        <v>69</v>
      </c>
      <c r="E37" s="61"/>
      <c r="F37" s="62"/>
      <c r="G37" s="61"/>
      <c r="H37" s="62"/>
      <c r="I37" s="61"/>
      <c r="J37" s="62"/>
    </row>
    <row r="38" ht="17.25" customHeight="1">
      <c r="A38" s="45" t="str">
        <f>Inputs!B19</f>
        <v>Dumbbell Row</v>
      </c>
      <c r="B38" s="45" t="s">
        <v>44</v>
      </c>
      <c r="C38" s="57">
        <v>12.5</v>
      </c>
      <c r="D38" s="50" t="s">
        <v>50</v>
      </c>
      <c r="E38" s="57">
        <v>12.5</v>
      </c>
      <c r="F38" s="50" t="s">
        <v>50</v>
      </c>
      <c r="G38" s="57">
        <v>12.5</v>
      </c>
      <c r="H38" s="50" t="s">
        <v>51</v>
      </c>
      <c r="I38" s="57">
        <v>15.0</v>
      </c>
      <c r="J38" s="50" t="s">
        <v>46</v>
      </c>
    </row>
    <row r="39" ht="17.25" customHeight="1">
      <c r="A39" s="45" t="str">
        <f>Inputs!B20</f>
        <v>Military Press</v>
      </c>
      <c r="B39" s="45" t="s">
        <v>44</v>
      </c>
      <c r="C39" s="57">
        <v>30.0</v>
      </c>
      <c r="D39" s="50" t="s">
        <v>54</v>
      </c>
      <c r="E39" s="57">
        <v>30.0</v>
      </c>
      <c r="F39" s="50" t="s">
        <v>54</v>
      </c>
      <c r="G39" s="57">
        <v>30.0</v>
      </c>
      <c r="H39" s="50" t="s">
        <v>50</v>
      </c>
      <c r="I39" s="46"/>
      <c r="J39" s="50" t="s">
        <v>51</v>
      </c>
    </row>
    <row r="40" ht="17.25" customHeight="1">
      <c r="A40" s="45" t="str">
        <f>Inputs!B21</f>
        <v>Weighted Pull-up</v>
      </c>
      <c r="B40" s="45" t="s">
        <v>44</v>
      </c>
      <c r="C40" s="57">
        <v>0.0</v>
      </c>
      <c r="D40" s="47" t="s">
        <v>57</v>
      </c>
      <c r="E40" s="57">
        <v>0.0</v>
      </c>
      <c r="F40" s="47" t="s">
        <v>70</v>
      </c>
      <c r="G40" s="57">
        <v>0.0</v>
      </c>
      <c r="H40" s="47" t="s">
        <v>71</v>
      </c>
      <c r="I40" s="57">
        <v>0.0</v>
      </c>
      <c r="J40" s="47" t="s">
        <v>72</v>
      </c>
    </row>
    <row r="41" ht="17.25" customHeight="1">
      <c r="A41" s="45" t="s">
        <v>47</v>
      </c>
      <c r="B41" s="45" t="s">
        <v>44</v>
      </c>
      <c r="C41" s="46"/>
      <c r="D41" s="50" t="s">
        <v>60</v>
      </c>
      <c r="E41" s="46"/>
      <c r="F41" s="50" t="s">
        <v>60</v>
      </c>
      <c r="G41" s="46"/>
      <c r="H41" s="50" t="s">
        <v>60</v>
      </c>
      <c r="I41" s="48"/>
      <c r="J41" s="49" t="s">
        <v>60</v>
      </c>
    </row>
    <row r="42" ht="17.25" customHeight="1">
      <c r="A42" s="51" t="s">
        <v>48</v>
      </c>
      <c r="B42" s="51" t="s">
        <v>44</v>
      </c>
      <c r="C42" s="52"/>
      <c r="D42" s="53" t="s">
        <v>60</v>
      </c>
      <c r="E42" s="52"/>
      <c r="F42" s="53" t="s">
        <v>60</v>
      </c>
      <c r="G42" s="52"/>
      <c r="H42" s="53" t="s">
        <v>60</v>
      </c>
      <c r="I42" s="58"/>
      <c r="J42" s="59" t="s">
        <v>60</v>
      </c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9" width="5.63"/>
    <col customWidth="1" min="10" max="10" width="10.25"/>
    <col customWidth="1" min="11" max="11" width="37.25"/>
    <col customWidth="1" min="12" max="26" width="9.13"/>
  </cols>
  <sheetData>
    <row r="1" ht="24.75" customHeight="1">
      <c r="A1" s="9" t="s">
        <v>73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5">
        <f>Inputs!B8+7</f>
        <v>46062</v>
      </c>
      <c r="B3" s="28" t="s">
        <v>39</v>
      </c>
      <c r="C3" s="36"/>
      <c r="D3" s="36"/>
      <c r="E3" s="36"/>
      <c r="F3" s="36"/>
      <c r="G3" s="36"/>
      <c r="H3" s="36"/>
      <c r="I3" s="36"/>
      <c r="J3" s="36"/>
    </row>
    <row r="4" ht="17.25" customHeight="1">
      <c r="A4" s="37"/>
      <c r="B4" s="38"/>
      <c r="C4" s="39" t="s">
        <v>40</v>
      </c>
      <c r="D4" s="40"/>
      <c r="E4" s="39" t="s">
        <v>41</v>
      </c>
      <c r="F4" s="40"/>
      <c r="G4" s="39" t="s">
        <v>42</v>
      </c>
      <c r="H4" s="40"/>
      <c r="I4" s="39" t="s">
        <v>43</v>
      </c>
      <c r="J4" s="63"/>
    </row>
    <row r="5" ht="17.25" customHeight="1">
      <c r="A5" s="41" t="s">
        <v>27</v>
      </c>
      <c r="B5" s="41" t="s">
        <v>44</v>
      </c>
      <c r="C5" s="42">
        <f>IF((Inputs!B11="kg"),MROUND((Inputs!B15*0.8),2.5),MROUND((Inputs!B15*0.8),5))</f>
        <v>87.5</v>
      </c>
      <c r="D5" s="43" t="s">
        <v>74</v>
      </c>
      <c r="E5" s="61"/>
      <c r="F5" s="62"/>
      <c r="G5" s="61"/>
      <c r="H5" s="62"/>
      <c r="I5" s="61"/>
      <c r="J5" s="64"/>
    </row>
    <row r="6" ht="12.75" customHeight="1">
      <c r="A6" s="65" t="s">
        <v>75</v>
      </c>
      <c r="B6" s="66"/>
      <c r="C6" s="66"/>
      <c r="D6" s="66"/>
      <c r="E6" s="66"/>
      <c r="F6" s="66"/>
      <c r="G6" s="66"/>
      <c r="H6" s="66"/>
      <c r="I6" s="66"/>
      <c r="J6" s="67"/>
      <c r="K6" s="56" t="s">
        <v>76</v>
      </c>
    </row>
    <row r="7" ht="12.75" customHeight="1">
      <c r="A7" s="65" t="s">
        <v>77</v>
      </c>
      <c r="B7" s="66"/>
      <c r="C7" s="66"/>
      <c r="D7" s="66"/>
      <c r="E7" s="66"/>
      <c r="F7" s="66"/>
      <c r="G7" s="66"/>
      <c r="H7" s="66"/>
      <c r="I7" s="66"/>
      <c r="J7" s="67"/>
    </row>
    <row r="8" ht="16.5" customHeight="1">
      <c r="A8" s="65" t="s">
        <v>78</v>
      </c>
      <c r="B8" s="66"/>
      <c r="C8" s="66"/>
      <c r="D8" s="66"/>
      <c r="E8" s="66"/>
      <c r="F8" s="66"/>
      <c r="G8" s="66"/>
      <c r="H8" s="66"/>
      <c r="I8" s="66"/>
      <c r="J8" s="67"/>
    </row>
    <row r="9" ht="17.25" customHeight="1">
      <c r="A9" s="45" t="s">
        <v>79</v>
      </c>
      <c r="B9" s="45" t="s">
        <v>44</v>
      </c>
      <c r="C9" s="46"/>
      <c r="D9" s="50" t="s">
        <v>51</v>
      </c>
      <c r="E9" s="46"/>
      <c r="F9" s="50" t="s">
        <v>51</v>
      </c>
      <c r="G9" s="46"/>
      <c r="H9" s="50" t="s">
        <v>51</v>
      </c>
      <c r="I9" s="48"/>
      <c r="J9" s="68"/>
    </row>
    <row r="10" ht="17.25" customHeight="1">
      <c r="A10" s="45" t="s">
        <v>47</v>
      </c>
      <c r="B10" s="45" t="s">
        <v>44</v>
      </c>
      <c r="C10" s="46"/>
      <c r="D10" s="50"/>
      <c r="E10" s="46"/>
      <c r="F10" s="50"/>
      <c r="G10" s="46"/>
      <c r="H10" s="50"/>
      <c r="I10" s="48"/>
      <c r="J10" s="68"/>
    </row>
    <row r="11" ht="17.25" customHeight="1">
      <c r="A11" s="51" t="s">
        <v>48</v>
      </c>
      <c r="B11" s="51" t="s">
        <v>44</v>
      </c>
      <c r="C11" s="52"/>
      <c r="D11" s="53"/>
      <c r="E11" s="52"/>
      <c r="F11" s="53"/>
      <c r="G11" s="52"/>
      <c r="H11" s="53"/>
      <c r="I11" s="58"/>
      <c r="J11" s="69"/>
    </row>
    <row r="12" ht="17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ht="17.25" customHeight="1">
      <c r="A13" s="35">
        <f>Inputs!B8+8</f>
        <v>46063</v>
      </c>
      <c r="B13" s="28" t="s">
        <v>39</v>
      </c>
      <c r="C13" s="36"/>
      <c r="D13" s="36"/>
      <c r="E13" s="36"/>
      <c r="F13" s="36"/>
      <c r="G13" s="36"/>
      <c r="H13" s="70"/>
      <c r="I13" s="36"/>
      <c r="J13" s="36"/>
    </row>
    <row r="14" ht="17.25" customHeight="1">
      <c r="A14" s="36"/>
      <c r="B14" s="38"/>
      <c r="C14" s="39" t="s">
        <v>40</v>
      </c>
      <c r="D14" s="40"/>
      <c r="E14" s="39" t="s">
        <v>41</v>
      </c>
      <c r="F14" s="40"/>
      <c r="G14" s="39" t="s">
        <v>42</v>
      </c>
      <c r="H14" s="40"/>
      <c r="I14" s="39" t="s">
        <v>43</v>
      </c>
      <c r="J14" s="40"/>
    </row>
    <row r="15" ht="17.25" customHeight="1">
      <c r="A15" s="41" t="s">
        <v>26</v>
      </c>
      <c r="B15" s="41" t="s">
        <v>44</v>
      </c>
      <c r="C15" s="42">
        <f>IF((Inputs!B11="kg"),MROUND((Inputs!B14*0.725),2.5),MROUND((Inputs!B14*0.725),5))</f>
        <v>70</v>
      </c>
      <c r="D15" s="44" t="s">
        <v>50</v>
      </c>
      <c r="E15" s="42">
        <f>IF((Inputs!B11="kg"),MROUND((Inputs!B14*0.775),2.5),MROUND((Inputs!B14*0.775),5))</f>
        <v>75</v>
      </c>
      <c r="F15" s="44" t="s">
        <v>51</v>
      </c>
      <c r="G15" s="42">
        <f>IF((Inputs!B11="kg"),(MROUND((Inputs!B14*0.8),2.5)+2.5),(MROUND((Inputs!B14*0.8),5)+5))</f>
        <v>80</v>
      </c>
      <c r="H15" s="43" t="s">
        <v>80</v>
      </c>
      <c r="I15" s="61"/>
      <c r="J15" s="62"/>
    </row>
    <row r="16" ht="17.25" customHeight="1">
      <c r="A16" s="45" t="str">
        <f>Inputs!B19</f>
        <v>Dumbbell Row</v>
      </c>
      <c r="B16" s="45" t="s">
        <v>44</v>
      </c>
      <c r="C16" s="57">
        <v>12.5</v>
      </c>
      <c r="D16" s="50" t="s">
        <v>50</v>
      </c>
      <c r="E16" s="57">
        <v>15.0</v>
      </c>
      <c r="F16" s="50" t="s">
        <v>51</v>
      </c>
      <c r="G16" s="57">
        <v>15.0</v>
      </c>
      <c r="H16" s="50" t="s">
        <v>51</v>
      </c>
      <c r="I16" s="48"/>
      <c r="J16" s="49"/>
    </row>
    <row r="17" ht="17.25" customHeight="1">
      <c r="A17" s="45" t="str">
        <f>Inputs!B20</f>
        <v>Military Press</v>
      </c>
      <c r="B17" s="45" t="s">
        <v>44</v>
      </c>
      <c r="C17" s="57">
        <v>35.0</v>
      </c>
      <c r="D17" s="50" t="s">
        <v>50</v>
      </c>
      <c r="E17" s="57">
        <v>40.0</v>
      </c>
      <c r="F17" s="50" t="s">
        <v>51</v>
      </c>
      <c r="G17" s="57">
        <v>45.0</v>
      </c>
      <c r="H17" s="50" t="s">
        <v>46</v>
      </c>
      <c r="I17" s="48"/>
      <c r="J17" s="49"/>
    </row>
    <row r="18" ht="17.25" customHeight="1">
      <c r="A18" s="45" t="str">
        <f>Inputs!B21</f>
        <v>Weighted Pull-up</v>
      </c>
      <c r="B18" s="45" t="s">
        <v>44</v>
      </c>
      <c r="C18" s="57">
        <v>0.0</v>
      </c>
      <c r="D18" s="47" t="s">
        <v>81</v>
      </c>
      <c r="E18" s="57">
        <v>0.0</v>
      </c>
      <c r="F18" s="47" t="s">
        <v>82</v>
      </c>
      <c r="G18" s="46"/>
      <c r="H18" s="50" t="s">
        <v>46</v>
      </c>
      <c r="I18" s="48"/>
      <c r="J18" s="49"/>
    </row>
    <row r="19" ht="17.25" customHeight="1">
      <c r="A19" s="45" t="s">
        <v>47</v>
      </c>
      <c r="B19" s="45" t="s">
        <v>44</v>
      </c>
      <c r="C19" s="46"/>
      <c r="D19" s="50" t="s">
        <v>60</v>
      </c>
      <c r="E19" s="46"/>
      <c r="F19" s="50" t="s">
        <v>60</v>
      </c>
      <c r="G19" s="46"/>
      <c r="H19" s="50" t="s">
        <v>60</v>
      </c>
      <c r="I19" s="48"/>
      <c r="J19" s="49" t="s">
        <v>60</v>
      </c>
    </row>
    <row r="20" ht="17.25" customHeight="1">
      <c r="A20" s="51" t="s">
        <v>48</v>
      </c>
      <c r="B20" s="51" t="s">
        <v>44</v>
      </c>
      <c r="C20" s="52"/>
      <c r="D20" s="53" t="s">
        <v>60</v>
      </c>
      <c r="E20" s="52"/>
      <c r="F20" s="53" t="s">
        <v>60</v>
      </c>
      <c r="G20" s="52"/>
      <c r="H20" s="53" t="s">
        <v>60</v>
      </c>
      <c r="I20" s="58"/>
      <c r="J20" s="59" t="s">
        <v>60</v>
      </c>
    </row>
    <row r="21" ht="17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ht="17.25" customHeight="1">
      <c r="A22" s="35">
        <f>Inputs!B8+10</f>
        <v>46065</v>
      </c>
      <c r="B22" s="28" t="s">
        <v>39</v>
      </c>
      <c r="C22" s="36"/>
      <c r="D22" s="36"/>
      <c r="E22" s="36"/>
      <c r="F22" s="36"/>
      <c r="G22" s="36"/>
      <c r="H22" s="36"/>
      <c r="I22" s="36"/>
      <c r="J22" s="36"/>
    </row>
    <row r="23" ht="17.25" customHeight="1">
      <c r="A23" s="37"/>
      <c r="B23" s="38"/>
      <c r="C23" s="39" t="s">
        <v>40</v>
      </c>
      <c r="D23" s="40"/>
      <c r="E23" s="39" t="s">
        <v>41</v>
      </c>
      <c r="F23" s="40"/>
      <c r="G23" s="39" t="s">
        <v>42</v>
      </c>
      <c r="H23" s="40"/>
      <c r="I23" s="39" t="s">
        <v>43</v>
      </c>
      <c r="J23" s="40"/>
    </row>
    <row r="24" ht="17.25" customHeight="1">
      <c r="A24" s="41" t="s">
        <v>27</v>
      </c>
      <c r="B24" s="41" t="s">
        <v>44</v>
      </c>
      <c r="C24" s="42">
        <f>IF((Inputs!B11="kg"),(MROUND((Inputs!B15*0.8),2.5)+2.5),(MROUND((Inputs!B15*0.8),5)+5))</f>
        <v>90</v>
      </c>
      <c r="D24" s="43" t="s">
        <v>83</v>
      </c>
      <c r="E24" s="61"/>
      <c r="F24" s="62"/>
      <c r="G24" s="61"/>
      <c r="H24" s="62"/>
      <c r="I24" s="61"/>
      <c r="J24" s="62"/>
    </row>
    <row r="25" ht="17.25" customHeight="1">
      <c r="A25" s="71" t="s">
        <v>84</v>
      </c>
      <c r="B25" s="66"/>
      <c r="C25" s="66"/>
      <c r="D25" s="66"/>
      <c r="E25" s="66"/>
      <c r="F25" s="66"/>
      <c r="G25" s="66"/>
      <c r="H25" s="66"/>
      <c r="I25" s="66"/>
      <c r="J25" s="67"/>
    </row>
    <row r="26" ht="17.25" customHeight="1">
      <c r="A26" s="71" t="s">
        <v>85</v>
      </c>
      <c r="B26" s="66"/>
      <c r="C26" s="66"/>
      <c r="D26" s="66"/>
      <c r="E26" s="66"/>
      <c r="F26" s="66"/>
      <c r="G26" s="66"/>
      <c r="H26" s="66"/>
      <c r="I26" s="66"/>
      <c r="J26" s="67"/>
    </row>
    <row r="27" ht="17.25" customHeight="1">
      <c r="A27" s="71" t="s">
        <v>86</v>
      </c>
      <c r="B27" s="66"/>
      <c r="C27" s="66"/>
      <c r="D27" s="66"/>
      <c r="E27" s="66"/>
      <c r="F27" s="66"/>
      <c r="G27" s="66"/>
      <c r="H27" s="66"/>
      <c r="I27" s="66"/>
      <c r="J27" s="67"/>
    </row>
    <row r="28" ht="17.25" customHeight="1">
      <c r="A28" s="71" t="s">
        <v>87</v>
      </c>
      <c r="B28" s="66"/>
      <c r="C28" s="66"/>
      <c r="D28" s="66"/>
      <c r="E28" s="66"/>
      <c r="F28" s="66"/>
      <c r="G28" s="66"/>
      <c r="H28" s="66"/>
      <c r="I28" s="66"/>
      <c r="J28" s="67"/>
    </row>
    <row r="29" ht="17.25" customHeight="1">
      <c r="A29" s="71" t="s">
        <v>88</v>
      </c>
      <c r="B29" s="66"/>
      <c r="C29" s="66"/>
      <c r="D29" s="66"/>
      <c r="E29" s="66"/>
      <c r="F29" s="66"/>
      <c r="G29" s="66"/>
      <c r="H29" s="66"/>
      <c r="I29" s="66"/>
      <c r="J29" s="67"/>
    </row>
    <row r="30" ht="17.25" customHeight="1">
      <c r="A30" s="45" t="s">
        <v>79</v>
      </c>
      <c r="B30" s="45" t="s">
        <v>44</v>
      </c>
      <c r="C30" s="57">
        <v>80.0</v>
      </c>
      <c r="D30" s="50" t="s">
        <v>51</v>
      </c>
      <c r="E30" s="57">
        <v>85.0</v>
      </c>
      <c r="F30" s="50" t="s">
        <v>51</v>
      </c>
      <c r="G30" s="57">
        <v>85.0</v>
      </c>
      <c r="H30" s="50" t="s">
        <v>51</v>
      </c>
      <c r="I30" s="48"/>
      <c r="J30" s="49"/>
      <c r="K30" s="56" t="s">
        <v>89</v>
      </c>
    </row>
    <row r="31" ht="17.25" customHeight="1">
      <c r="A31" s="45" t="s">
        <v>47</v>
      </c>
      <c r="B31" s="45" t="s">
        <v>44</v>
      </c>
      <c r="C31" s="46"/>
      <c r="D31" s="50"/>
      <c r="E31" s="46"/>
      <c r="F31" s="50"/>
      <c r="G31" s="46"/>
      <c r="H31" s="50"/>
      <c r="I31" s="48"/>
      <c r="J31" s="49"/>
    </row>
    <row r="32" ht="17.25" customHeight="1">
      <c r="A32" s="51" t="s">
        <v>48</v>
      </c>
      <c r="B32" s="51" t="s">
        <v>44</v>
      </c>
      <c r="C32" s="52"/>
      <c r="D32" s="53"/>
      <c r="E32" s="52"/>
      <c r="F32" s="53"/>
      <c r="G32" s="52"/>
      <c r="H32" s="53"/>
      <c r="I32" s="58"/>
      <c r="J32" s="59"/>
    </row>
    <row r="33" ht="17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ht="17.25" customHeight="1">
      <c r="A34" s="35">
        <f>Inputs!B8+11</f>
        <v>46066</v>
      </c>
      <c r="B34" s="28" t="s">
        <v>39</v>
      </c>
      <c r="C34" s="36"/>
      <c r="D34" s="36"/>
      <c r="E34" s="36"/>
      <c r="F34" s="36"/>
      <c r="G34" s="36"/>
      <c r="H34" s="36"/>
      <c r="I34" s="36"/>
      <c r="J34" s="36"/>
    </row>
    <row r="35" ht="17.25" customHeight="1">
      <c r="A35" s="36"/>
      <c r="B35" s="38"/>
      <c r="C35" s="39" t="s">
        <v>40</v>
      </c>
      <c r="D35" s="40"/>
      <c r="E35" s="39" t="s">
        <v>41</v>
      </c>
      <c r="F35" s="40"/>
      <c r="G35" s="39" t="s">
        <v>42</v>
      </c>
      <c r="H35" s="40"/>
      <c r="I35" s="39" t="s">
        <v>43</v>
      </c>
      <c r="J35" s="40"/>
    </row>
    <row r="36" ht="17.25" customHeight="1">
      <c r="A36" s="41" t="s">
        <v>26</v>
      </c>
      <c r="B36" s="41" t="s">
        <v>44</v>
      </c>
      <c r="C36" s="42">
        <f>IF((Inputs!B11="kg"),MROUND((Inputs!B14*0.725),2.5),MROUND((Inputs!B14*0.725),5))</f>
        <v>70</v>
      </c>
      <c r="D36" s="44" t="s">
        <v>50</v>
      </c>
      <c r="E36" s="42">
        <f>IF((Inputs!B11="kg"),MROUND((Inputs!B14*0.775),2.5),MROUND((Inputs!B14*0.775),5))</f>
        <v>75</v>
      </c>
      <c r="F36" s="43" t="s">
        <v>90</v>
      </c>
      <c r="G36" s="42">
        <f>IF((Inputs!B11="kg"),(MROUND((Inputs!B14*0.8),2.5)+2.5),(MROUND((Inputs!B14*0.8),5)+5))</f>
        <v>80</v>
      </c>
      <c r="H36" s="43" t="s">
        <v>91</v>
      </c>
      <c r="I36" s="61"/>
      <c r="J36" s="62"/>
    </row>
    <row r="37" ht="17.25" customHeight="1">
      <c r="A37" s="45" t="str">
        <f>Inputs!B19</f>
        <v>Dumbbell Row</v>
      </c>
      <c r="B37" s="45" t="s">
        <v>44</v>
      </c>
      <c r="C37" s="57">
        <v>12.5</v>
      </c>
      <c r="D37" s="50" t="s">
        <v>50</v>
      </c>
      <c r="E37" s="57">
        <v>12.5</v>
      </c>
      <c r="F37" s="50" t="s">
        <v>51</v>
      </c>
      <c r="G37" s="57">
        <v>15.0</v>
      </c>
      <c r="H37" s="50" t="s">
        <v>51</v>
      </c>
      <c r="I37" s="48"/>
      <c r="J37" s="49"/>
    </row>
    <row r="38" ht="17.25" customHeight="1">
      <c r="A38" s="45" t="str">
        <f>Inputs!B20</f>
        <v>Military Press</v>
      </c>
      <c r="B38" s="45" t="s">
        <v>44</v>
      </c>
      <c r="C38" s="57">
        <v>30.0</v>
      </c>
      <c r="D38" s="50" t="s">
        <v>50</v>
      </c>
      <c r="E38" s="57">
        <v>40.0</v>
      </c>
      <c r="F38" s="50" t="s">
        <v>51</v>
      </c>
      <c r="G38" s="57">
        <v>50.0</v>
      </c>
      <c r="H38" s="47" t="s">
        <v>92</v>
      </c>
      <c r="I38" s="48"/>
      <c r="J38" s="49"/>
    </row>
    <row r="39" ht="17.25" customHeight="1">
      <c r="A39" s="45" t="str">
        <f>Inputs!B21</f>
        <v>Weighted Pull-up</v>
      </c>
      <c r="B39" s="45" t="s">
        <v>44</v>
      </c>
      <c r="C39" s="57">
        <v>0.0</v>
      </c>
      <c r="D39" s="47" t="s">
        <v>93</v>
      </c>
      <c r="E39" s="57">
        <v>0.0</v>
      </c>
      <c r="F39" s="50" t="s">
        <v>51</v>
      </c>
      <c r="G39" s="57">
        <v>0.0</v>
      </c>
      <c r="H39" s="47" t="s">
        <v>94</v>
      </c>
      <c r="I39" s="48"/>
      <c r="J39" s="49"/>
    </row>
    <row r="40" ht="17.25" customHeight="1">
      <c r="A40" s="45" t="s">
        <v>47</v>
      </c>
      <c r="B40" s="45" t="s">
        <v>44</v>
      </c>
      <c r="C40" s="46"/>
      <c r="D40" s="50" t="s">
        <v>60</v>
      </c>
      <c r="E40" s="46"/>
      <c r="F40" s="50" t="s">
        <v>60</v>
      </c>
      <c r="G40" s="46"/>
      <c r="H40" s="50" t="s">
        <v>60</v>
      </c>
      <c r="I40" s="48"/>
      <c r="J40" s="49" t="s">
        <v>60</v>
      </c>
    </row>
    <row r="41" ht="17.25" customHeight="1">
      <c r="A41" s="51" t="s">
        <v>48</v>
      </c>
      <c r="B41" s="51" t="s">
        <v>44</v>
      </c>
      <c r="C41" s="52"/>
      <c r="D41" s="53" t="s">
        <v>60</v>
      </c>
      <c r="E41" s="52"/>
      <c r="F41" s="53" t="s">
        <v>60</v>
      </c>
      <c r="G41" s="52"/>
      <c r="H41" s="53" t="s">
        <v>60</v>
      </c>
      <c r="I41" s="58"/>
      <c r="J41" s="59" t="s">
        <v>60</v>
      </c>
    </row>
    <row r="42" ht="17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ht="17.25" customHeight="1">
      <c r="A43" s="35">
        <f>A34+2</f>
        <v>46068</v>
      </c>
      <c r="B43" s="28" t="s">
        <v>39</v>
      </c>
      <c r="C43" s="36"/>
      <c r="D43" s="36"/>
      <c r="E43" s="36"/>
      <c r="F43" s="36"/>
      <c r="G43" s="36"/>
      <c r="H43" s="36"/>
      <c r="I43" s="36"/>
      <c r="J43" s="36"/>
    </row>
    <row r="44" ht="17.25" customHeight="1">
      <c r="A44" s="36"/>
      <c r="B44" s="38"/>
      <c r="C44" s="39" t="s">
        <v>40</v>
      </c>
      <c r="D44" s="40"/>
      <c r="E44" s="39" t="s">
        <v>41</v>
      </c>
      <c r="F44" s="40"/>
      <c r="G44" s="39" t="s">
        <v>42</v>
      </c>
      <c r="H44" s="40"/>
      <c r="I44" s="39" t="s">
        <v>43</v>
      </c>
      <c r="J44" s="40"/>
    </row>
    <row r="45" ht="17.25" customHeight="1">
      <c r="A45" s="41" t="s">
        <v>26</v>
      </c>
      <c r="B45" s="41" t="s">
        <v>44</v>
      </c>
      <c r="C45" s="42">
        <f>IF((Inputs!B11="kg"),(MROUND((Inputs!B14*0.8),2.5)-2.5),(MROUND((Inputs!B14*0.8),5)-5))</f>
        <v>75</v>
      </c>
      <c r="D45" s="43" t="s">
        <v>95</v>
      </c>
      <c r="E45" s="61"/>
      <c r="F45" s="62"/>
      <c r="G45" s="61"/>
      <c r="H45" s="62"/>
      <c r="I45" s="61"/>
      <c r="J45" s="62"/>
      <c r="K45" s="56" t="s">
        <v>96</v>
      </c>
    </row>
    <row r="46" ht="17.25" customHeight="1">
      <c r="A46" s="45" t="str">
        <f>Inputs!B19</f>
        <v>Dumbbell Row</v>
      </c>
      <c r="B46" s="45" t="s">
        <v>44</v>
      </c>
      <c r="C46" s="57">
        <v>12.5</v>
      </c>
      <c r="D46" s="50" t="s">
        <v>50</v>
      </c>
      <c r="E46" s="57">
        <v>15.0</v>
      </c>
      <c r="F46" s="50" t="s">
        <v>51</v>
      </c>
      <c r="G46" s="46"/>
      <c r="H46" s="50" t="s">
        <v>51</v>
      </c>
      <c r="I46" s="48"/>
      <c r="J46" s="49"/>
    </row>
    <row r="47" ht="17.25" customHeight="1">
      <c r="A47" s="45" t="str">
        <f>Inputs!B20</f>
        <v>Military Press</v>
      </c>
      <c r="B47" s="45" t="s">
        <v>44</v>
      </c>
      <c r="C47" s="57">
        <v>35.0</v>
      </c>
      <c r="D47" s="50" t="s">
        <v>50</v>
      </c>
      <c r="E47" s="57">
        <v>40.0</v>
      </c>
      <c r="F47" s="50" t="s">
        <v>51</v>
      </c>
      <c r="G47" s="57">
        <v>50.0</v>
      </c>
      <c r="H47" s="50" t="s">
        <v>46</v>
      </c>
      <c r="I47" s="48"/>
      <c r="J47" s="49"/>
    </row>
    <row r="48" ht="17.25" customHeight="1">
      <c r="A48" s="45" t="str">
        <f>Inputs!B21</f>
        <v>Weighted Pull-up</v>
      </c>
      <c r="B48" s="45" t="s">
        <v>44</v>
      </c>
      <c r="C48" s="57">
        <v>0.0</v>
      </c>
      <c r="D48" s="47" t="s">
        <v>97</v>
      </c>
      <c r="E48" s="57">
        <v>0.0</v>
      </c>
      <c r="F48" s="47" t="s">
        <v>98</v>
      </c>
      <c r="G48" s="57">
        <v>0.0</v>
      </c>
      <c r="H48" s="47" t="s">
        <v>99</v>
      </c>
      <c r="I48" s="48"/>
      <c r="J48" s="49"/>
    </row>
    <row r="49" ht="17.25" customHeight="1">
      <c r="A49" s="45" t="s">
        <v>47</v>
      </c>
      <c r="B49" s="45" t="s">
        <v>44</v>
      </c>
      <c r="C49" s="46"/>
      <c r="D49" s="50" t="s">
        <v>60</v>
      </c>
      <c r="E49" s="46"/>
      <c r="F49" s="50" t="s">
        <v>60</v>
      </c>
      <c r="G49" s="46"/>
      <c r="H49" s="50" t="s">
        <v>60</v>
      </c>
      <c r="I49" s="48"/>
      <c r="J49" s="49" t="s">
        <v>60</v>
      </c>
    </row>
    <row r="50" ht="17.25" customHeight="1">
      <c r="A50" s="51" t="s">
        <v>48</v>
      </c>
      <c r="B50" s="51" t="s">
        <v>44</v>
      </c>
      <c r="C50" s="52"/>
      <c r="D50" s="53" t="s">
        <v>60</v>
      </c>
      <c r="E50" s="52"/>
      <c r="F50" s="53" t="s">
        <v>60</v>
      </c>
      <c r="G50" s="52"/>
      <c r="H50" s="53" t="s">
        <v>60</v>
      </c>
      <c r="I50" s="58"/>
      <c r="J50" s="59" t="s">
        <v>60</v>
      </c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9">
    <mergeCell ref="A28:J28"/>
    <mergeCell ref="A29:J29"/>
    <mergeCell ref="A1:J1"/>
    <mergeCell ref="A6:J6"/>
    <mergeCell ref="A7:J7"/>
    <mergeCell ref="A8:J8"/>
    <mergeCell ref="A25:J25"/>
    <mergeCell ref="A26:J26"/>
    <mergeCell ref="A27:J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100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5">
        <f>Inputs!B8+14</f>
        <v>46069</v>
      </c>
      <c r="B3" s="28" t="s">
        <v>39</v>
      </c>
      <c r="C3" s="36"/>
      <c r="D3" s="36"/>
      <c r="E3" s="36"/>
      <c r="F3" s="36"/>
      <c r="G3" s="36"/>
      <c r="H3" s="36"/>
      <c r="I3" s="36"/>
      <c r="J3" s="36"/>
    </row>
    <row r="4" ht="17.25" customHeight="1">
      <c r="A4" s="37"/>
      <c r="B4" s="38"/>
      <c r="C4" s="39" t="s">
        <v>40</v>
      </c>
      <c r="D4" s="40"/>
      <c r="E4" s="39" t="s">
        <v>41</v>
      </c>
      <c r="F4" s="40"/>
      <c r="G4" s="39" t="s">
        <v>42</v>
      </c>
      <c r="H4" s="40"/>
      <c r="I4" s="39" t="s">
        <v>43</v>
      </c>
      <c r="J4" s="40"/>
    </row>
    <row r="5" ht="17.25" customHeight="1">
      <c r="A5" s="41" t="s">
        <v>27</v>
      </c>
      <c r="B5" s="41" t="s">
        <v>44</v>
      </c>
      <c r="C5" s="42">
        <f>IF((Inputs!B11="kg"),(MROUND((Inputs!B15*0.85),2.5)+2.5),(MROUND((Inputs!B15*0.85),5)+5))</f>
        <v>95</v>
      </c>
      <c r="D5" s="43" t="s">
        <v>101</v>
      </c>
      <c r="E5" s="42">
        <f>IF((Inputs!B11="kg"),(MROUND((Inputs!B15*0.85),2.5)+2.5),(MROUND((Inputs!B15*0.85),5)+5))</f>
        <v>95</v>
      </c>
      <c r="F5" s="43" t="s">
        <v>101</v>
      </c>
      <c r="G5" s="42">
        <f>IF((Inputs!B11="kg"),(MROUND((Inputs!B15*0.85),2.5)+2.5),(MROUND((Inputs!B15*0.85),5)+5))</f>
        <v>95</v>
      </c>
      <c r="H5" s="43" t="s">
        <v>102</v>
      </c>
      <c r="I5" s="61"/>
      <c r="J5" s="62"/>
    </row>
    <row r="6" ht="17.25" customHeight="1">
      <c r="A6" s="45" t="s">
        <v>28</v>
      </c>
      <c r="B6" s="45" t="s">
        <v>44</v>
      </c>
      <c r="C6" s="46">
        <f>IF((Inputs!B11="kg"),MROUND((Inputs!B16*0.875),2.5),MROUND((Inputs!B16*0.875),5))</f>
        <v>145</v>
      </c>
      <c r="D6" s="47" t="s">
        <v>103</v>
      </c>
      <c r="E6" s="46">
        <f>IF((Inputs!B11="kg"),MROUND((Inputs!B16*0.875),2.5),MROUND((Inputs!B16*0.875),5))</f>
        <v>145</v>
      </c>
      <c r="F6" s="47" t="s">
        <v>104</v>
      </c>
      <c r="G6" s="48"/>
      <c r="H6" s="49"/>
      <c r="I6" s="48"/>
      <c r="J6" s="49"/>
    </row>
    <row r="7" ht="17.25" customHeight="1">
      <c r="A7" s="51" t="s">
        <v>105</v>
      </c>
      <c r="B7" s="72"/>
      <c r="C7" s="58"/>
      <c r="D7" s="59"/>
      <c r="E7" s="58"/>
      <c r="F7" s="59"/>
      <c r="G7" s="58"/>
      <c r="H7" s="59"/>
      <c r="I7" s="58"/>
      <c r="J7" s="59"/>
    </row>
    <row r="8" ht="17.25" customHeight="1">
      <c r="A8" s="13"/>
      <c r="B8" s="13"/>
      <c r="C8" s="13"/>
      <c r="D8" s="13"/>
      <c r="E8" s="13"/>
      <c r="F8" s="13"/>
      <c r="G8" s="13"/>
      <c r="H8" s="13"/>
      <c r="I8" s="13"/>
      <c r="J8" s="13"/>
    </row>
    <row r="9" ht="17.25" customHeight="1">
      <c r="A9" s="35">
        <f>A3+2</f>
        <v>46071</v>
      </c>
      <c r="B9" s="28" t="s">
        <v>106</v>
      </c>
      <c r="C9" s="70" t="s">
        <v>39</v>
      </c>
      <c r="D9" s="36"/>
      <c r="E9" s="36"/>
      <c r="F9" s="36"/>
      <c r="G9" s="36"/>
      <c r="H9" s="36"/>
      <c r="I9" s="36"/>
      <c r="J9" s="36"/>
    </row>
    <row r="10" ht="17.25" customHeight="1">
      <c r="A10" s="36"/>
      <c r="B10" s="38"/>
      <c r="C10" s="39" t="s">
        <v>40</v>
      </c>
      <c r="D10" s="40"/>
      <c r="E10" s="39" t="s">
        <v>41</v>
      </c>
      <c r="F10" s="40"/>
      <c r="G10" s="39" t="s">
        <v>42</v>
      </c>
      <c r="H10" s="40"/>
      <c r="I10" s="39" t="s">
        <v>43</v>
      </c>
      <c r="J10" s="40"/>
    </row>
    <row r="11" ht="17.25" customHeight="1">
      <c r="A11" s="41" t="s">
        <v>26</v>
      </c>
      <c r="B11" s="41" t="s">
        <v>44</v>
      </c>
      <c r="C11" s="42">
        <f>IF((Inputs!B11="kg"),MROUND((Inputs!B14*0.85),2.5),MROUND((Inputs!B14*0.85),5))</f>
        <v>80</v>
      </c>
      <c r="D11" s="43" t="s">
        <v>101</v>
      </c>
      <c r="E11" s="42">
        <f>IF((Inputs!B11="kg"),MROUND((Inputs!B14*0.85),2.5),MROUND((Inputs!B14*0.85),5))</f>
        <v>80</v>
      </c>
      <c r="F11" s="43" t="s">
        <v>101</v>
      </c>
      <c r="G11" s="42">
        <f>IF((Inputs!B11="kg"),MROUND((Inputs!B14*0.85),2.5),MROUND((Inputs!B14*0.85),5))</f>
        <v>80</v>
      </c>
      <c r="H11" s="43" t="s">
        <v>101</v>
      </c>
      <c r="I11" s="61"/>
      <c r="J11" s="62"/>
    </row>
    <row r="12" ht="17.25" customHeight="1">
      <c r="A12" s="45" t="str">
        <f>Inputs!B19</f>
        <v>Dumbbell Row</v>
      </c>
      <c r="B12" s="45" t="s">
        <v>44</v>
      </c>
      <c r="C12" s="57">
        <v>17.5</v>
      </c>
      <c r="D12" s="50" t="s">
        <v>46</v>
      </c>
      <c r="E12" s="57">
        <v>17.5</v>
      </c>
      <c r="F12" s="50" t="s">
        <v>46</v>
      </c>
      <c r="G12" s="57">
        <v>17.5</v>
      </c>
      <c r="H12" s="50" t="s">
        <v>46</v>
      </c>
      <c r="I12" s="48"/>
      <c r="J12" s="49"/>
    </row>
    <row r="13" ht="17.25" customHeight="1">
      <c r="A13" s="45" t="str">
        <f>Inputs!B20</f>
        <v>Military Press</v>
      </c>
      <c r="B13" s="45" t="s">
        <v>44</v>
      </c>
      <c r="C13" s="57">
        <v>52.5</v>
      </c>
      <c r="D13" s="50" t="s">
        <v>46</v>
      </c>
      <c r="E13" s="57">
        <v>52.5</v>
      </c>
      <c r="F13" s="47" t="s">
        <v>107</v>
      </c>
      <c r="G13" s="57">
        <v>50.0</v>
      </c>
      <c r="H13" s="50" t="s">
        <v>46</v>
      </c>
      <c r="I13" s="48"/>
      <c r="J13" s="49"/>
    </row>
    <row r="14" ht="17.25" customHeight="1">
      <c r="A14" s="45" t="str">
        <f>Inputs!B21</f>
        <v>Weighted Pull-up</v>
      </c>
      <c r="B14" s="45" t="s">
        <v>44</v>
      </c>
      <c r="C14" s="57">
        <v>5.0</v>
      </c>
      <c r="D14" s="47" t="s">
        <v>45</v>
      </c>
      <c r="E14" s="57">
        <v>5.0</v>
      </c>
      <c r="F14" s="47" t="s">
        <v>45</v>
      </c>
      <c r="G14" s="57">
        <v>5.0</v>
      </c>
      <c r="H14" s="50" t="s">
        <v>46</v>
      </c>
      <c r="I14" s="48"/>
      <c r="J14" s="49"/>
    </row>
    <row r="15" ht="17.25" customHeight="1">
      <c r="A15" s="51" t="s">
        <v>108</v>
      </c>
      <c r="B15" s="72"/>
      <c r="C15" s="58"/>
      <c r="D15" s="59"/>
      <c r="E15" s="58"/>
      <c r="F15" s="59"/>
      <c r="G15" s="58"/>
      <c r="H15" s="59"/>
      <c r="I15" s="58"/>
      <c r="J15" s="59"/>
    </row>
    <row r="16" ht="17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ht="17.25" customHeight="1">
      <c r="A17" s="35">
        <f>A9+2</f>
        <v>46073</v>
      </c>
      <c r="B17" s="28" t="s">
        <v>109</v>
      </c>
      <c r="C17" s="73" t="s">
        <v>39</v>
      </c>
      <c r="D17" s="74"/>
      <c r="E17" s="74"/>
      <c r="F17" s="74"/>
      <c r="G17" s="74"/>
      <c r="H17" s="74"/>
      <c r="I17" s="74"/>
      <c r="J17" s="74"/>
    </row>
    <row r="18" ht="17.25" customHeight="1">
      <c r="A18" s="37"/>
      <c r="B18" s="38"/>
      <c r="C18" s="39" t="s">
        <v>40</v>
      </c>
      <c r="D18" s="40"/>
      <c r="E18" s="39" t="s">
        <v>41</v>
      </c>
      <c r="F18" s="40"/>
      <c r="G18" s="39" t="s">
        <v>42</v>
      </c>
      <c r="H18" s="40"/>
      <c r="I18" s="39" t="s">
        <v>43</v>
      </c>
      <c r="J18" s="40"/>
    </row>
    <row r="19" ht="17.25" customHeight="1">
      <c r="A19" s="41" t="s">
        <v>27</v>
      </c>
      <c r="B19" s="41" t="s">
        <v>44</v>
      </c>
      <c r="C19" s="42">
        <f>IF((Inputs!B11="kg"),(MROUND(((Inputs!B15*0.85)+2.5),2.5)+2.5),(MROUND(((Inputs!B15*0.85)+5),5)+5))</f>
        <v>97.5</v>
      </c>
      <c r="D19" s="43" t="s">
        <v>101</v>
      </c>
      <c r="E19" s="61"/>
      <c r="F19" s="62"/>
      <c r="G19" s="61"/>
      <c r="H19" s="62"/>
      <c r="I19" s="61"/>
      <c r="J19" s="62"/>
    </row>
    <row r="20" ht="17.25" customHeight="1">
      <c r="A20" s="45" t="s">
        <v>79</v>
      </c>
      <c r="B20" s="45" t="s">
        <v>44</v>
      </c>
      <c r="C20" s="57">
        <v>100.0</v>
      </c>
      <c r="D20" s="50" t="s">
        <v>51</v>
      </c>
      <c r="E20" s="48"/>
      <c r="F20" s="49"/>
      <c r="G20" s="48"/>
      <c r="H20" s="49"/>
      <c r="I20" s="48"/>
      <c r="J20" s="49"/>
    </row>
    <row r="21" ht="17.25" customHeight="1">
      <c r="A21" s="51" t="s">
        <v>105</v>
      </c>
      <c r="B21" s="72"/>
      <c r="C21" s="58"/>
      <c r="D21" s="59"/>
      <c r="E21" s="58"/>
      <c r="F21" s="59"/>
      <c r="G21" s="58"/>
      <c r="H21" s="59"/>
      <c r="I21" s="58"/>
      <c r="J21" s="59"/>
    </row>
    <row r="22" ht="17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ht="17.25" customHeight="1">
      <c r="A23" s="35">
        <f>A9+3</f>
        <v>46074</v>
      </c>
      <c r="B23" s="28" t="s">
        <v>110</v>
      </c>
      <c r="C23" s="36"/>
      <c r="D23" s="36"/>
      <c r="E23" s="36"/>
      <c r="F23" s="36"/>
      <c r="G23" s="36"/>
      <c r="H23" s="36"/>
      <c r="I23" s="36"/>
      <c r="J23" s="36"/>
    </row>
    <row r="24" ht="17.25" customHeight="1">
      <c r="A24" s="36"/>
      <c r="B24" s="38"/>
      <c r="C24" s="39" t="s">
        <v>40</v>
      </c>
      <c r="D24" s="40"/>
      <c r="E24" s="39" t="s">
        <v>41</v>
      </c>
      <c r="F24" s="40"/>
      <c r="G24" s="39" t="s">
        <v>42</v>
      </c>
      <c r="H24" s="40"/>
      <c r="I24" s="39" t="s">
        <v>43</v>
      </c>
      <c r="J24" s="40"/>
    </row>
    <row r="25" ht="17.25" customHeight="1">
      <c r="A25" s="41" t="s">
        <v>26</v>
      </c>
      <c r="B25" s="41" t="s">
        <v>44</v>
      </c>
      <c r="C25" s="42">
        <f>IF((Inputs!B11="kg"),(C11+2.5),(C11+5))</f>
        <v>82.5</v>
      </c>
      <c r="D25" s="43" t="s">
        <v>102</v>
      </c>
      <c r="E25" s="42">
        <f>IF((Inputs!B11="kg"),(E11+2.5),(E11+5))</f>
        <v>82.5</v>
      </c>
      <c r="F25" s="43" t="s">
        <v>102</v>
      </c>
      <c r="G25" s="42">
        <f>IF((Inputs!B11="kg"),(G11+2.5),(G11+5))</f>
        <v>82.5</v>
      </c>
      <c r="H25" s="43" t="s">
        <v>111</v>
      </c>
      <c r="I25" s="61"/>
      <c r="J25" s="62"/>
    </row>
    <row r="26" ht="17.25" customHeight="1">
      <c r="A26" s="45" t="str">
        <f>Inputs!B19</f>
        <v>Dumbbell Row</v>
      </c>
      <c r="B26" s="45" t="s">
        <v>44</v>
      </c>
      <c r="C26" s="46"/>
      <c r="D26" s="47" t="s">
        <v>46</v>
      </c>
      <c r="E26" s="46"/>
      <c r="F26" s="50" t="s">
        <v>46</v>
      </c>
      <c r="G26" s="46"/>
      <c r="H26" s="50" t="s">
        <v>46</v>
      </c>
      <c r="I26" s="48"/>
      <c r="J26" s="49"/>
    </row>
    <row r="27" ht="17.25" customHeight="1">
      <c r="A27" s="45" t="str">
        <f>Inputs!B20</f>
        <v>Military Press</v>
      </c>
      <c r="B27" s="45" t="s">
        <v>44</v>
      </c>
      <c r="C27" s="57">
        <v>52.5</v>
      </c>
      <c r="D27" s="47" t="s">
        <v>45</v>
      </c>
      <c r="E27" s="57">
        <v>52.5</v>
      </c>
      <c r="F27" s="47" t="s">
        <v>112</v>
      </c>
      <c r="G27" s="57">
        <v>52.5</v>
      </c>
      <c r="H27" s="47" t="s">
        <v>113</v>
      </c>
      <c r="I27" s="48"/>
      <c r="J27" s="49"/>
    </row>
    <row r="28" ht="17.25" customHeight="1">
      <c r="A28" s="45" t="str">
        <f>Inputs!B21</f>
        <v>Weighted Pull-up</v>
      </c>
      <c r="B28" s="45" t="s">
        <v>44</v>
      </c>
      <c r="C28" s="57">
        <v>0.0</v>
      </c>
      <c r="D28" s="50" t="s">
        <v>46</v>
      </c>
      <c r="E28" s="57">
        <v>5.0</v>
      </c>
      <c r="F28" s="47" t="s">
        <v>107</v>
      </c>
      <c r="G28" s="57">
        <v>0.0</v>
      </c>
      <c r="H28" s="47" t="s">
        <v>107</v>
      </c>
      <c r="I28" s="48"/>
      <c r="J28" s="49"/>
      <c r="K28" s="56" t="s">
        <v>114</v>
      </c>
    </row>
    <row r="29" ht="17.25" customHeight="1">
      <c r="A29" s="51" t="s">
        <v>108</v>
      </c>
      <c r="B29" s="72"/>
      <c r="C29" s="58"/>
      <c r="D29" s="59"/>
      <c r="E29" s="58"/>
      <c r="F29" s="59"/>
      <c r="G29" s="58"/>
      <c r="H29" s="59"/>
      <c r="I29" s="58"/>
      <c r="J29" s="59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115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5">
        <f>Inputs!B8+21</f>
        <v>46076</v>
      </c>
      <c r="B3" s="28" t="s">
        <v>39</v>
      </c>
      <c r="C3" s="36"/>
      <c r="D3" s="36"/>
      <c r="E3" s="36"/>
      <c r="F3" s="36"/>
      <c r="G3" s="36"/>
      <c r="H3" s="36"/>
      <c r="I3" s="36"/>
      <c r="J3" s="36"/>
    </row>
    <row r="4" ht="17.25" customHeight="1">
      <c r="A4" s="37"/>
      <c r="B4" s="38"/>
      <c r="C4" s="39" t="s">
        <v>40</v>
      </c>
      <c r="D4" s="40"/>
      <c r="E4" s="39" t="s">
        <v>41</v>
      </c>
      <c r="F4" s="40"/>
      <c r="G4" s="39" t="s">
        <v>42</v>
      </c>
      <c r="H4" s="40"/>
      <c r="I4" s="39" t="s">
        <v>43</v>
      </c>
      <c r="J4" s="40"/>
    </row>
    <row r="5" ht="17.25" customHeight="1">
      <c r="A5" s="41" t="s">
        <v>27</v>
      </c>
      <c r="B5" s="41" t="s">
        <v>44</v>
      </c>
      <c r="C5" s="42">
        <f>IF((Inputs!B11="kg"),(MROUND((Inputs!B15*0.9),2.5)-2.5),(MROUND((Inputs!B15*0.9),5)-5))</f>
        <v>95</v>
      </c>
      <c r="D5" s="44" t="s">
        <v>116</v>
      </c>
      <c r="E5" s="42">
        <f>IF((Inputs!B11="kg"),MROUND((Inputs!B15*0.9),2.5),MROUND((Inputs!B15*0.9),5))</f>
        <v>97.5</v>
      </c>
      <c r="F5" s="44" t="s">
        <v>116</v>
      </c>
      <c r="G5" s="75">
        <f>IF((Inputs!B11="kg"),(MROUND((Inputs!B15*0.9),2.5)+2.5),(MROUND((Inputs!B15*0.9),5)+5))</f>
        <v>100</v>
      </c>
      <c r="H5" s="76" t="s">
        <v>116</v>
      </c>
      <c r="I5" s="61"/>
      <c r="J5" s="62"/>
      <c r="K5" s="56" t="s">
        <v>117</v>
      </c>
    </row>
    <row r="6" ht="17.25" customHeight="1">
      <c r="A6" s="45" t="s">
        <v>79</v>
      </c>
      <c r="B6" s="45" t="s">
        <v>44</v>
      </c>
      <c r="C6" s="57">
        <v>100.0</v>
      </c>
      <c r="D6" s="50" t="s">
        <v>46</v>
      </c>
      <c r="E6" s="57">
        <v>100.0</v>
      </c>
      <c r="F6" s="50" t="s">
        <v>46</v>
      </c>
      <c r="G6" s="48"/>
      <c r="H6" s="49"/>
      <c r="I6" s="48"/>
      <c r="J6" s="49"/>
    </row>
    <row r="7" ht="17.25" customHeight="1">
      <c r="A7" s="45" t="s">
        <v>47</v>
      </c>
      <c r="B7" s="45" t="s">
        <v>44</v>
      </c>
      <c r="C7" s="46"/>
      <c r="D7" s="50"/>
      <c r="E7" s="46"/>
      <c r="F7" s="50"/>
      <c r="G7" s="46"/>
      <c r="H7" s="50"/>
      <c r="I7" s="48"/>
      <c r="J7" s="49"/>
    </row>
    <row r="8" ht="17.25" customHeight="1">
      <c r="A8" s="51" t="s">
        <v>48</v>
      </c>
      <c r="B8" s="51" t="s">
        <v>44</v>
      </c>
      <c r="C8" s="52"/>
      <c r="D8" s="53"/>
      <c r="E8" s="52"/>
      <c r="F8" s="53"/>
      <c r="G8" s="52"/>
      <c r="H8" s="53"/>
      <c r="I8" s="58"/>
      <c r="J8" s="59"/>
    </row>
    <row r="9" ht="17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7.25" customHeight="1">
      <c r="A10" s="35">
        <f>A3+1</f>
        <v>46077</v>
      </c>
      <c r="B10" s="28" t="s">
        <v>39</v>
      </c>
      <c r="C10" s="36"/>
      <c r="D10" s="36"/>
      <c r="E10" s="36"/>
      <c r="F10" s="36"/>
      <c r="G10" s="36"/>
      <c r="H10" s="36"/>
      <c r="I10" s="36"/>
      <c r="J10" s="36"/>
    </row>
    <row r="11" ht="17.25" customHeight="1">
      <c r="A11" s="36"/>
      <c r="B11" s="38"/>
      <c r="C11" s="39" t="s">
        <v>40</v>
      </c>
      <c r="D11" s="40"/>
      <c r="E11" s="39" t="s">
        <v>41</v>
      </c>
      <c r="F11" s="40"/>
      <c r="G11" s="39" t="s">
        <v>42</v>
      </c>
      <c r="H11" s="40"/>
      <c r="I11" s="39" t="s">
        <v>43</v>
      </c>
      <c r="J11" s="40"/>
    </row>
    <row r="12" ht="17.25" customHeight="1">
      <c r="A12" s="41" t="s">
        <v>26</v>
      </c>
      <c r="B12" s="41" t="s">
        <v>44</v>
      </c>
      <c r="C12" s="42">
        <f>IF((Inputs!B11="kg"),MROUND(((Inputs!B14*0.875)-5),2.5),MROUND(((Inputs!B14*0.875)-5),5))</f>
        <v>77.5</v>
      </c>
      <c r="D12" s="43" t="s">
        <v>118</v>
      </c>
      <c r="E12" s="42">
        <f>IF((Inputs!B11="kg"),MROUND(((Inputs!B14*0.9)-5),2.5),MROUND(((Inputs!B14*0.9)-5),5))</f>
        <v>80</v>
      </c>
      <c r="F12" s="44" t="s">
        <v>116</v>
      </c>
      <c r="G12" s="42">
        <f>IF((Inputs!B11="kg"),MROUND((Inputs!B14*0.9),2.5),MROUND((Inputs!B14*0.9),5))</f>
        <v>85</v>
      </c>
      <c r="H12" s="44" t="s">
        <v>116</v>
      </c>
      <c r="I12" s="61"/>
      <c r="J12" s="62"/>
    </row>
    <row r="13" ht="17.25" customHeight="1">
      <c r="A13" s="45" t="str">
        <f>Inputs!B19</f>
        <v>Dumbbell Row</v>
      </c>
      <c r="B13" s="45" t="s">
        <v>44</v>
      </c>
      <c r="C13" s="57">
        <v>10.0</v>
      </c>
      <c r="D13" s="50" t="s">
        <v>50</v>
      </c>
      <c r="E13" s="57">
        <v>10.0</v>
      </c>
      <c r="F13" s="50" t="s">
        <v>50</v>
      </c>
      <c r="G13" s="57">
        <v>12.5</v>
      </c>
      <c r="H13" s="50" t="s">
        <v>51</v>
      </c>
      <c r="I13" s="57">
        <v>15.0</v>
      </c>
      <c r="J13" s="50" t="s">
        <v>46</v>
      </c>
    </row>
    <row r="14" ht="17.25" customHeight="1">
      <c r="A14" s="77" t="s">
        <v>19</v>
      </c>
      <c r="B14" s="45" t="s">
        <v>44</v>
      </c>
      <c r="C14" s="57">
        <v>40.0</v>
      </c>
      <c r="D14" s="50" t="s">
        <v>54</v>
      </c>
      <c r="E14" s="57">
        <v>40.0</v>
      </c>
      <c r="F14" s="50" t="s">
        <v>54</v>
      </c>
      <c r="G14" s="57">
        <v>40.0</v>
      </c>
      <c r="H14" s="47" t="s">
        <v>119</v>
      </c>
      <c r="I14" s="57">
        <v>40.0</v>
      </c>
      <c r="J14" s="47" t="s">
        <v>120</v>
      </c>
    </row>
    <row r="15" ht="17.25" customHeight="1">
      <c r="A15" s="77" t="s">
        <v>12</v>
      </c>
      <c r="B15" s="45" t="s">
        <v>44</v>
      </c>
      <c r="C15" s="57">
        <v>0.0</v>
      </c>
      <c r="D15" s="47" t="s">
        <v>121</v>
      </c>
      <c r="E15" s="57">
        <v>0.0</v>
      </c>
      <c r="F15" s="47" t="s">
        <v>58</v>
      </c>
      <c r="G15" s="57">
        <v>0.0</v>
      </c>
      <c r="H15" s="47" t="s">
        <v>56</v>
      </c>
      <c r="I15" s="57">
        <v>0.0</v>
      </c>
      <c r="J15" s="47" t="s">
        <v>66</v>
      </c>
    </row>
    <row r="16" ht="17.25" customHeight="1">
      <c r="A16" s="45" t="s">
        <v>47</v>
      </c>
      <c r="B16" s="45" t="s">
        <v>44</v>
      </c>
      <c r="C16" s="46"/>
      <c r="D16" s="50" t="s">
        <v>60</v>
      </c>
      <c r="E16" s="46"/>
      <c r="F16" s="50" t="s">
        <v>60</v>
      </c>
      <c r="G16" s="46"/>
      <c r="H16" s="50" t="s">
        <v>60</v>
      </c>
      <c r="I16" s="46"/>
      <c r="J16" s="50" t="s">
        <v>60</v>
      </c>
    </row>
    <row r="17" ht="17.25" customHeight="1">
      <c r="A17" s="51" t="s">
        <v>48</v>
      </c>
      <c r="B17" s="51" t="s">
        <v>44</v>
      </c>
      <c r="C17" s="52"/>
      <c r="D17" s="53" t="s">
        <v>60</v>
      </c>
      <c r="E17" s="52"/>
      <c r="F17" s="53" t="s">
        <v>60</v>
      </c>
      <c r="G17" s="52"/>
      <c r="H17" s="53" t="s">
        <v>60</v>
      </c>
      <c r="I17" s="52"/>
      <c r="J17" s="53" t="s">
        <v>60</v>
      </c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5">
        <f>A10+2</f>
        <v>46079</v>
      </c>
      <c r="B19" s="28" t="s">
        <v>39</v>
      </c>
      <c r="C19" s="36"/>
      <c r="D19" s="36"/>
      <c r="E19" s="36"/>
      <c r="F19" s="36"/>
      <c r="G19" s="36"/>
      <c r="H19" s="36"/>
      <c r="I19" s="36"/>
      <c r="J19" s="36"/>
    </row>
    <row r="20" ht="17.25" customHeight="1">
      <c r="A20" s="37"/>
      <c r="B20" s="38"/>
      <c r="C20" s="39" t="s">
        <v>40</v>
      </c>
      <c r="D20" s="40"/>
      <c r="E20" s="39" t="s">
        <v>41</v>
      </c>
      <c r="F20" s="40"/>
      <c r="G20" s="39" t="s">
        <v>42</v>
      </c>
      <c r="H20" s="40"/>
      <c r="I20" s="39" t="s">
        <v>43</v>
      </c>
      <c r="J20" s="40"/>
    </row>
    <row r="21" ht="17.25" customHeight="1">
      <c r="A21" s="41" t="s">
        <v>27</v>
      </c>
      <c r="B21" s="41" t="s">
        <v>44</v>
      </c>
      <c r="C21" s="42">
        <f>IF((Inputs!B11="kg"),(MROUND((Inputs!B15*0.9),2.5)+2.5),(MROUND((Inputs!B15*0.9),5)+5))</f>
        <v>100</v>
      </c>
      <c r="D21" s="43" t="s">
        <v>122</v>
      </c>
      <c r="E21" s="42">
        <f>IF((Inputs!B11="kg"),MROUND((Inputs!B15*0.95),2.5),MROUND((Inputs!B15*0.95),5))</f>
        <v>102.5</v>
      </c>
      <c r="F21" s="43" t="s">
        <v>123</v>
      </c>
      <c r="G21" s="61"/>
      <c r="H21" s="62"/>
      <c r="I21" s="61"/>
      <c r="J21" s="62"/>
    </row>
    <row r="22" ht="17.25" customHeight="1">
      <c r="A22" s="45" t="s">
        <v>28</v>
      </c>
      <c r="B22" s="45" t="s">
        <v>44</v>
      </c>
      <c r="C22" s="46">
        <f>IF((Inputs!B11="kg"),(MROUND((Inputs!B16*0.9),2.5)+2.5),(MROUND((Inputs!B16*0.9),5)+5))</f>
        <v>152.5</v>
      </c>
      <c r="D22" s="47" t="s">
        <v>122</v>
      </c>
      <c r="E22" s="46">
        <f>IF((Inputs!B11="kg"),MROUND((Inputs!B16*0.95),2.5),MROUND((Inputs!B16*0.95),5))</f>
        <v>157.5</v>
      </c>
      <c r="F22" s="47" t="s">
        <v>123</v>
      </c>
      <c r="G22" s="48"/>
      <c r="H22" s="49"/>
      <c r="I22" s="48"/>
      <c r="J22" s="49"/>
    </row>
    <row r="23" ht="17.25" customHeight="1">
      <c r="A23" s="45" t="s">
        <v>47</v>
      </c>
      <c r="B23" s="45" t="s">
        <v>44</v>
      </c>
      <c r="C23" s="46"/>
      <c r="D23" s="50"/>
      <c r="E23" s="46"/>
      <c r="F23" s="50"/>
      <c r="G23" s="46"/>
      <c r="H23" s="50"/>
      <c r="I23" s="48"/>
      <c r="J23" s="49"/>
    </row>
    <row r="24" ht="17.25" customHeight="1">
      <c r="A24" s="51" t="s">
        <v>48</v>
      </c>
      <c r="B24" s="51" t="s">
        <v>44</v>
      </c>
      <c r="C24" s="52"/>
      <c r="D24" s="53"/>
      <c r="E24" s="52"/>
      <c r="F24" s="53"/>
      <c r="G24" s="52"/>
      <c r="H24" s="53"/>
      <c r="I24" s="58"/>
      <c r="J24" s="59"/>
    </row>
    <row r="25" ht="17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ht="17.25" customHeight="1">
      <c r="A26" s="35">
        <f>A19+1</f>
        <v>46080</v>
      </c>
      <c r="B26" s="28" t="s">
        <v>124</v>
      </c>
      <c r="C26" s="70" t="s">
        <v>39</v>
      </c>
      <c r="D26" s="36"/>
      <c r="E26" s="36"/>
      <c r="F26" s="36"/>
      <c r="G26" s="36"/>
      <c r="H26" s="36"/>
      <c r="I26" s="36"/>
      <c r="J26" s="36"/>
    </row>
    <row r="27" ht="17.25" customHeight="1">
      <c r="A27" s="36"/>
      <c r="B27" s="38"/>
      <c r="C27" s="39" t="s">
        <v>40</v>
      </c>
      <c r="D27" s="40"/>
      <c r="E27" s="39" t="s">
        <v>41</v>
      </c>
      <c r="F27" s="40"/>
      <c r="G27" s="39" t="s">
        <v>42</v>
      </c>
      <c r="H27" s="40"/>
      <c r="I27" s="39" t="s">
        <v>43</v>
      </c>
      <c r="J27" s="40"/>
    </row>
    <row r="28" ht="17.25" customHeight="1">
      <c r="A28" s="41" t="s">
        <v>26</v>
      </c>
      <c r="B28" s="41" t="s">
        <v>44</v>
      </c>
      <c r="C28" s="42">
        <f>IF((Inputs!B11="kg"),MROUND((Inputs!B14*0.875),2.5),MROUND((Inputs!B14*0.875),5))</f>
        <v>82.5</v>
      </c>
      <c r="D28" s="43" t="s">
        <v>122</v>
      </c>
      <c r="E28" s="42">
        <f>IF((Inputs!B11="kg"),MROUND((Inputs!B14*0.9),2.5),MROUND((Inputs!B14*0.9),5))</f>
        <v>85</v>
      </c>
      <c r="F28" s="43" t="s">
        <v>125</v>
      </c>
      <c r="G28" s="42">
        <f>IF((Inputs!B11="kg"),MROUND((Inputs!B14*0.95),2.5),MROUND((Inputs!B14*0.95),5))</f>
        <v>90</v>
      </c>
      <c r="H28" s="43" t="s">
        <v>123</v>
      </c>
      <c r="I28" s="61"/>
      <c r="J28" s="62"/>
    </row>
    <row r="29" ht="17.25" customHeight="1">
      <c r="A29" s="45" t="str">
        <f>Inputs!B19</f>
        <v>Dumbbell Row</v>
      </c>
      <c r="B29" s="45" t="s">
        <v>44</v>
      </c>
      <c r="C29" s="57">
        <v>10.0</v>
      </c>
      <c r="D29" s="47" t="s">
        <v>126</v>
      </c>
      <c r="E29" s="57">
        <v>10.0</v>
      </c>
      <c r="F29" s="47" t="s">
        <v>126</v>
      </c>
      <c r="G29" s="57">
        <v>12.5</v>
      </c>
      <c r="H29" s="50" t="s">
        <v>51</v>
      </c>
      <c r="I29" s="57">
        <v>12.5</v>
      </c>
      <c r="J29" s="50" t="s">
        <v>46</v>
      </c>
    </row>
    <row r="30" ht="17.25" customHeight="1">
      <c r="A30" s="45" t="str">
        <f>Inputs!B20</f>
        <v>Military Press</v>
      </c>
      <c r="B30" s="45" t="s">
        <v>44</v>
      </c>
      <c r="C30" s="57">
        <v>40.0</v>
      </c>
      <c r="D30" s="50" t="s">
        <v>54</v>
      </c>
      <c r="E30" s="57">
        <v>40.0</v>
      </c>
      <c r="F30" s="47" t="s">
        <v>55</v>
      </c>
      <c r="G30" s="57">
        <v>40.0</v>
      </c>
      <c r="H30" s="47" t="s">
        <v>62</v>
      </c>
      <c r="I30" s="57">
        <v>40.0</v>
      </c>
      <c r="J30" s="47" t="s">
        <v>127</v>
      </c>
      <c r="K30" s="56" t="s">
        <v>128</v>
      </c>
    </row>
    <row r="31" ht="17.25" customHeight="1">
      <c r="A31" s="45" t="str">
        <f>Inputs!B21</f>
        <v>Weighted Pull-up</v>
      </c>
      <c r="B31" s="45" t="s">
        <v>44</v>
      </c>
      <c r="C31" s="57">
        <v>0.0</v>
      </c>
      <c r="D31" s="47" t="s">
        <v>57</v>
      </c>
      <c r="E31" s="57">
        <v>0.0</v>
      </c>
      <c r="F31" s="47" t="s">
        <v>129</v>
      </c>
      <c r="G31" s="57">
        <v>0.0</v>
      </c>
      <c r="H31" s="47" t="s">
        <v>130</v>
      </c>
      <c r="I31" s="57">
        <v>0.0</v>
      </c>
      <c r="J31" s="50" t="s">
        <v>51</v>
      </c>
      <c r="K31" s="56" t="s">
        <v>131</v>
      </c>
    </row>
    <row r="32" ht="17.25" customHeight="1">
      <c r="A32" s="45" t="s">
        <v>47</v>
      </c>
      <c r="B32" s="45" t="s">
        <v>44</v>
      </c>
      <c r="C32" s="46"/>
      <c r="D32" s="50" t="s">
        <v>60</v>
      </c>
      <c r="E32" s="46"/>
      <c r="F32" s="50" t="s">
        <v>60</v>
      </c>
      <c r="G32" s="46"/>
      <c r="H32" s="50" t="s">
        <v>60</v>
      </c>
      <c r="I32" s="48"/>
      <c r="J32" s="49" t="s">
        <v>60</v>
      </c>
    </row>
    <row r="33" ht="17.25" customHeight="1">
      <c r="A33" s="51" t="s">
        <v>48</v>
      </c>
      <c r="B33" s="51" t="s">
        <v>44</v>
      </c>
      <c r="C33" s="52"/>
      <c r="D33" s="53" t="s">
        <v>60</v>
      </c>
      <c r="E33" s="52"/>
      <c r="F33" s="53" t="s">
        <v>60</v>
      </c>
      <c r="G33" s="52"/>
      <c r="H33" s="53" t="s">
        <v>60</v>
      </c>
      <c r="I33" s="58"/>
      <c r="J33" s="59" t="s">
        <v>60</v>
      </c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132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5">
        <f>Inputs!B8+28</f>
        <v>46083</v>
      </c>
      <c r="B3" s="28" t="s">
        <v>133</v>
      </c>
      <c r="C3" s="36"/>
      <c r="D3" s="36"/>
      <c r="E3" s="36"/>
      <c r="F3" s="36"/>
      <c r="G3" s="36"/>
      <c r="H3" s="36"/>
      <c r="I3" s="36"/>
      <c r="J3" s="36"/>
    </row>
    <row r="4" ht="17.25" customHeight="1">
      <c r="A4" s="37"/>
      <c r="B4" s="38"/>
      <c r="C4" s="39" t="s">
        <v>40</v>
      </c>
      <c r="D4" s="40"/>
      <c r="E4" s="39" t="s">
        <v>41</v>
      </c>
      <c r="F4" s="40"/>
      <c r="G4" s="39" t="s">
        <v>42</v>
      </c>
      <c r="H4" s="40"/>
      <c r="I4" s="39" t="s">
        <v>43</v>
      </c>
      <c r="J4" s="40"/>
    </row>
    <row r="5" ht="17.25" customHeight="1">
      <c r="A5" s="41" t="s">
        <v>27</v>
      </c>
      <c r="B5" s="41" t="s">
        <v>44</v>
      </c>
      <c r="C5" s="42">
        <f>IF((Inputs!B11="kg"),MROUND((Inputs!B15*0.975),2.5),MROUND((Inputs!B15*0.975),5))</f>
        <v>107.5</v>
      </c>
      <c r="D5" s="44" t="s">
        <v>134</v>
      </c>
      <c r="E5" s="61"/>
      <c r="F5" s="62"/>
      <c r="G5" s="61"/>
      <c r="H5" s="62"/>
      <c r="I5" s="61"/>
      <c r="J5" s="62"/>
    </row>
    <row r="6" ht="17.25" customHeight="1">
      <c r="A6" s="45" t="s">
        <v>28</v>
      </c>
      <c r="B6" s="45" t="s">
        <v>44</v>
      </c>
      <c r="C6" s="46">
        <f>IF((Inputs!B11="kg"),MROUND((Inputs!B16*0.675),2.5),MROUND((Inputs!B16*0.675),5))</f>
        <v>112.5</v>
      </c>
      <c r="D6" s="50" t="s">
        <v>135</v>
      </c>
      <c r="E6" s="46">
        <f>IF((Inputs!B11="kg"),MROUND((Inputs!B16*0.7),2.5),MROUND((Inputs!B16*0.7),5))</f>
        <v>117.5</v>
      </c>
      <c r="F6" s="50" t="s">
        <v>135</v>
      </c>
      <c r="G6" s="46">
        <f>IF((Inputs!B11="kg"),MROUND((Inputs!B16*0.725),2.5),MROUND((Inputs!B16*0.725),5))</f>
        <v>120</v>
      </c>
      <c r="H6" s="50" t="s">
        <v>136</v>
      </c>
      <c r="I6" s="48"/>
      <c r="J6" s="49"/>
    </row>
    <row r="7" ht="17.25" customHeight="1">
      <c r="A7" s="45" t="s">
        <v>137</v>
      </c>
      <c r="B7" s="45" t="s">
        <v>44</v>
      </c>
      <c r="C7" s="46"/>
      <c r="D7" s="50"/>
      <c r="E7" s="46"/>
      <c r="F7" s="50"/>
      <c r="G7" s="46"/>
      <c r="H7" s="50"/>
      <c r="I7" s="48"/>
      <c r="J7" s="49"/>
    </row>
    <row r="8" ht="17.25" customHeight="1">
      <c r="A8" s="51" t="s">
        <v>137</v>
      </c>
      <c r="B8" s="51" t="s">
        <v>44</v>
      </c>
      <c r="C8" s="52"/>
      <c r="D8" s="53"/>
      <c r="E8" s="52"/>
      <c r="F8" s="53"/>
      <c r="G8" s="52"/>
      <c r="H8" s="53"/>
      <c r="I8" s="58"/>
      <c r="J8" s="59"/>
    </row>
    <row r="9" ht="17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7.25" customHeight="1">
      <c r="A10" s="35">
        <f>A3+2</f>
        <v>46085</v>
      </c>
      <c r="B10" s="8"/>
      <c r="C10" s="36"/>
      <c r="D10" s="36"/>
      <c r="E10" s="36"/>
      <c r="F10" s="36"/>
      <c r="G10" s="36"/>
      <c r="H10" s="36"/>
      <c r="I10" s="36"/>
      <c r="J10" s="36"/>
    </row>
    <row r="11" ht="17.25" customHeight="1">
      <c r="A11" s="36"/>
      <c r="B11" s="38"/>
      <c r="C11" s="39" t="s">
        <v>40</v>
      </c>
      <c r="D11" s="40"/>
      <c r="E11" s="39" t="s">
        <v>41</v>
      </c>
      <c r="F11" s="40"/>
      <c r="G11" s="39" t="s">
        <v>42</v>
      </c>
      <c r="H11" s="40"/>
      <c r="I11" s="39" t="s">
        <v>43</v>
      </c>
      <c r="J11" s="40"/>
    </row>
    <row r="12" ht="17.25" customHeight="1">
      <c r="A12" s="41" t="s">
        <v>26</v>
      </c>
      <c r="B12" s="41" t="s">
        <v>44</v>
      </c>
      <c r="C12" s="42">
        <f>IF((Inputs!B11="kg"),MROUND((Inputs!B14*0.975),2.5),MROUND((Inputs!B14*0.975),5))</f>
        <v>92.5</v>
      </c>
      <c r="D12" s="44" t="s">
        <v>134</v>
      </c>
      <c r="E12" s="61"/>
      <c r="F12" s="62"/>
      <c r="G12" s="78"/>
      <c r="H12" s="79"/>
      <c r="I12" s="61"/>
      <c r="J12" s="62"/>
    </row>
    <row r="13" ht="17.25" customHeight="1">
      <c r="A13" s="45" t="str">
        <f>Inputs!B19</f>
        <v>Dumbbell Row</v>
      </c>
      <c r="B13" s="45" t="s">
        <v>44</v>
      </c>
      <c r="C13" s="46"/>
      <c r="D13" s="50" t="s">
        <v>51</v>
      </c>
      <c r="E13" s="46"/>
      <c r="F13" s="50" t="s">
        <v>46</v>
      </c>
      <c r="G13" s="46"/>
      <c r="H13" s="50" t="s">
        <v>46</v>
      </c>
      <c r="I13" s="48"/>
      <c r="J13" s="49"/>
    </row>
    <row r="14" ht="17.25" customHeight="1">
      <c r="A14" s="45" t="str">
        <f>Inputs!B20</f>
        <v>Military Press</v>
      </c>
      <c r="B14" s="45" t="s">
        <v>44</v>
      </c>
      <c r="C14" s="46"/>
      <c r="D14" s="50" t="s">
        <v>51</v>
      </c>
      <c r="E14" s="46"/>
      <c r="F14" s="50" t="s">
        <v>46</v>
      </c>
      <c r="G14" s="46"/>
      <c r="H14" s="50" t="s">
        <v>46</v>
      </c>
      <c r="I14" s="48"/>
      <c r="J14" s="49"/>
    </row>
    <row r="15" ht="17.25" customHeight="1">
      <c r="A15" s="45" t="str">
        <f>Inputs!B21</f>
        <v>Weighted Pull-up</v>
      </c>
      <c r="B15" s="45" t="s">
        <v>44</v>
      </c>
      <c r="C15" s="46"/>
      <c r="D15" s="50" t="s">
        <v>51</v>
      </c>
      <c r="E15" s="46"/>
      <c r="F15" s="50" t="s">
        <v>46</v>
      </c>
      <c r="G15" s="46"/>
      <c r="H15" s="50" t="s">
        <v>46</v>
      </c>
      <c r="I15" s="48"/>
      <c r="J15" s="49"/>
    </row>
    <row r="16" ht="17.25" customHeight="1">
      <c r="A16" s="45" t="s">
        <v>47</v>
      </c>
      <c r="B16" s="45" t="s">
        <v>44</v>
      </c>
      <c r="C16" s="46"/>
      <c r="D16" s="50" t="s">
        <v>60</v>
      </c>
      <c r="E16" s="46"/>
      <c r="F16" s="50" t="s">
        <v>60</v>
      </c>
      <c r="G16" s="46"/>
      <c r="H16" s="50" t="s">
        <v>60</v>
      </c>
      <c r="I16" s="48"/>
      <c r="J16" s="49"/>
    </row>
    <row r="17" ht="17.25" customHeight="1">
      <c r="A17" s="51" t="s">
        <v>48</v>
      </c>
      <c r="B17" s="51" t="s">
        <v>44</v>
      </c>
      <c r="C17" s="52"/>
      <c r="D17" s="53" t="s">
        <v>60</v>
      </c>
      <c r="E17" s="52"/>
      <c r="F17" s="53" t="s">
        <v>60</v>
      </c>
      <c r="G17" s="52"/>
      <c r="H17" s="53" t="s">
        <v>60</v>
      </c>
      <c r="I17" s="58"/>
      <c r="J17" s="59"/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5">
        <f>A10+2</f>
        <v>46087</v>
      </c>
      <c r="B19" s="8"/>
      <c r="C19" s="36"/>
      <c r="D19" s="36"/>
      <c r="E19" s="36"/>
      <c r="F19" s="36"/>
      <c r="G19" s="36"/>
      <c r="H19" s="36"/>
      <c r="I19" s="36"/>
      <c r="J19" s="36"/>
    </row>
    <row r="20" ht="17.25" customHeight="1">
      <c r="A20" s="37"/>
      <c r="B20" s="38"/>
      <c r="C20" s="39" t="s">
        <v>40</v>
      </c>
      <c r="D20" s="40"/>
      <c r="E20" s="39" t="s">
        <v>41</v>
      </c>
      <c r="F20" s="40"/>
      <c r="G20" s="39" t="s">
        <v>42</v>
      </c>
      <c r="H20" s="40"/>
      <c r="I20" s="39" t="s">
        <v>43</v>
      </c>
      <c r="J20" s="40"/>
    </row>
    <row r="21" ht="17.25" customHeight="1">
      <c r="A21" s="41" t="s">
        <v>28</v>
      </c>
      <c r="B21" s="41" t="s">
        <v>44</v>
      </c>
      <c r="C21" s="42">
        <f>IF((Inputs!B11="kg"),MROUND((Inputs!B16*0.975),2.5),MROUND((Inputs!B16*0.975),5))</f>
        <v>162.5</v>
      </c>
      <c r="D21" s="44" t="s">
        <v>134</v>
      </c>
      <c r="E21" s="61"/>
      <c r="F21" s="62"/>
      <c r="G21" s="61"/>
      <c r="H21" s="62"/>
      <c r="I21" s="61"/>
      <c r="J21" s="62"/>
    </row>
    <row r="22" ht="17.25" customHeight="1">
      <c r="A22" s="45" t="s">
        <v>137</v>
      </c>
      <c r="B22" s="45" t="s">
        <v>44</v>
      </c>
      <c r="C22" s="46"/>
      <c r="D22" s="50"/>
      <c r="E22" s="46"/>
      <c r="F22" s="50"/>
      <c r="G22" s="46"/>
      <c r="H22" s="50"/>
      <c r="I22" s="48"/>
      <c r="J22" s="49"/>
    </row>
    <row r="23" ht="17.25" customHeight="1">
      <c r="A23" s="51" t="s">
        <v>137</v>
      </c>
      <c r="B23" s="51" t="s">
        <v>44</v>
      </c>
      <c r="C23" s="52"/>
      <c r="D23" s="53"/>
      <c r="E23" s="52"/>
      <c r="F23" s="53"/>
      <c r="G23" s="52"/>
      <c r="H23" s="53"/>
      <c r="I23" s="58"/>
      <c r="J23" s="59"/>
    </row>
    <row r="24" ht="17.2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7.2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7.2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7.2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7.2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7.2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38"/>
    <col customWidth="1" min="2" max="2" width="8.5"/>
    <col customWidth="1" min="3" max="3" width="10.38"/>
    <col customWidth="1" min="4" max="4" width="14.63"/>
    <col customWidth="1" min="5" max="10" width="8.5"/>
    <col customWidth="1" min="11" max="26" width="9.13"/>
  </cols>
  <sheetData>
    <row r="1" ht="24.75" customHeight="1">
      <c r="A1" s="9" t="s">
        <v>138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 t="s">
        <v>139</v>
      </c>
      <c r="B2" s="80"/>
      <c r="C2" s="80"/>
      <c r="D2" s="80"/>
      <c r="E2" s="80"/>
      <c r="F2" s="80"/>
      <c r="G2" s="80"/>
      <c r="H2" s="13"/>
      <c r="I2" s="13"/>
      <c r="J2" s="13"/>
    </row>
    <row r="3" ht="17.25" customHeight="1">
      <c r="A3" s="8" t="s">
        <v>140</v>
      </c>
      <c r="H3" s="8"/>
      <c r="I3" s="8"/>
      <c r="J3" s="8"/>
    </row>
    <row r="4" ht="17.25" customHeight="1">
      <c r="A4" s="8" t="s">
        <v>141</v>
      </c>
      <c r="G4" s="8"/>
      <c r="H4" s="8"/>
      <c r="I4" s="8"/>
      <c r="J4" s="8"/>
    </row>
    <row r="5" ht="17.25" customHeight="1">
      <c r="A5" s="8"/>
      <c r="B5" s="8"/>
      <c r="C5" s="8"/>
      <c r="D5" s="8"/>
      <c r="E5" s="8"/>
      <c r="F5" s="8"/>
      <c r="G5" s="8"/>
      <c r="H5" s="8"/>
      <c r="I5" s="8"/>
      <c r="J5" s="8"/>
    </row>
    <row r="6" ht="17.25" customHeight="1">
      <c r="A6" s="8" t="s">
        <v>142</v>
      </c>
      <c r="C6" s="8"/>
      <c r="D6" s="8"/>
      <c r="E6" s="8"/>
      <c r="F6" s="8"/>
      <c r="G6" s="8"/>
      <c r="H6" s="8"/>
      <c r="I6" s="8"/>
      <c r="J6" s="8"/>
    </row>
    <row r="7" ht="17.25" customHeight="1">
      <c r="A7" s="8" t="s">
        <v>143</v>
      </c>
      <c r="H7" s="8"/>
      <c r="I7" s="8"/>
      <c r="J7" s="8"/>
    </row>
    <row r="8" ht="17.25" customHeight="1">
      <c r="A8" s="8"/>
      <c r="B8" s="8"/>
      <c r="C8" s="8"/>
      <c r="D8" s="8"/>
      <c r="E8" s="81"/>
      <c r="F8" s="32"/>
      <c r="G8" s="8"/>
      <c r="H8" s="8"/>
      <c r="I8" s="8"/>
      <c r="J8" s="8"/>
    </row>
    <row r="9" ht="17.25" customHeight="1">
      <c r="A9" s="82" t="s">
        <v>144</v>
      </c>
      <c r="B9" s="83"/>
      <c r="C9" s="83"/>
      <c r="D9" s="83"/>
      <c r="E9" s="84"/>
      <c r="F9" s="19"/>
      <c r="G9" s="8"/>
      <c r="H9" s="8"/>
      <c r="I9" s="8"/>
      <c r="J9" s="8"/>
    </row>
    <row r="10" ht="17.25" customHeight="1">
      <c r="A10" s="85"/>
      <c r="B10" s="86" t="s">
        <v>145</v>
      </c>
      <c r="C10" s="85" t="s">
        <v>146</v>
      </c>
      <c r="D10" s="86" t="s">
        <v>147</v>
      </c>
      <c r="E10" s="87"/>
      <c r="F10" s="19"/>
      <c r="G10" s="8"/>
      <c r="H10" s="8"/>
      <c r="I10" s="8"/>
      <c r="J10" s="8"/>
    </row>
    <row r="11" ht="17.25" customHeight="1">
      <c r="A11" s="45" t="s">
        <v>26</v>
      </c>
      <c r="B11" s="46">
        <f>Inputs!B14</f>
        <v>95.5</v>
      </c>
      <c r="C11" s="88">
        <v>350.0</v>
      </c>
      <c r="D11" s="89">
        <f t="shared" ref="D11:D13" si="1">C11-B11</f>
        <v>254.5</v>
      </c>
      <c r="E11" s="90"/>
      <c r="F11" s="8"/>
      <c r="G11" s="8"/>
      <c r="H11" s="8"/>
      <c r="I11" s="8"/>
      <c r="J11" s="8"/>
    </row>
    <row r="12" ht="17.25" customHeight="1">
      <c r="A12" s="45" t="s">
        <v>27</v>
      </c>
      <c r="B12" s="46">
        <f>Inputs!B15</f>
        <v>109.1</v>
      </c>
      <c r="C12" s="88">
        <v>550.0</v>
      </c>
      <c r="D12" s="89">
        <f t="shared" si="1"/>
        <v>440.9</v>
      </c>
      <c r="E12" s="91"/>
      <c r="F12" s="8"/>
      <c r="G12" s="8"/>
      <c r="H12" s="8"/>
      <c r="I12" s="8"/>
      <c r="J12" s="8"/>
    </row>
    <row r="13" ht="17.25" customHeight="1">
      <c r="A13" s="51" t="s">
        <v>28</v>
      </c>
      <c r="B13" s="52">
        <f>Inputs!B16</f>
        <v>166.8</v>
      </c>
      <c r="C13" s="92">
        <v>620.0</v>
      </c>
      <c r="D13" s="89">
        <f t="shared" si="1"/>
        <v>453.2</v>
      </c>
      <c r="E13" s="32"/>
      <c r="F13" s="8"/>
      <c r="G13" s="8"/>
      <c r="H13" s="8"/>
      <c r="I13" s="8"/>
      <c r="J13" s="8"/>
    </row>
    <row r="14" ht="17.25" customHeight="1">
      <c r="A14" s="13"/>
      <c r="B14" s="13"/>
      <c r="C14" s="13"/>
      <c r="D14" s="54"/>
      <c r="E14" s="8"/>
      <c r="F14" s="8"/>
      <c r="G14" s="8"/>
      <c r="H14" s="8"/>
      <c r="I14" s="8"/>
      <c r="J14" s="8"/>
    </row>
    <row r="15" ht="17.25" customHeight="1">
      <c r="A15" s="28" t="s">
        <v>148</v>
      </c>
      <c r="B15" s="8"/>
      <c r="C15" s="8"/>
      <c r="D15" s="8"/>
      <c r="E15" s="8"/>
      <c r="F15" s="8"/>
      <c r="G15" s="8"/>
      <c r="H15" s="8"/>
      <c r="I15" s="8"/>
      <c r="J15" s="8"/>
    </row>
    <row r="16" ht="17.25" customHeight="1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ht="17.25" customHeight="1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ht="17.25" customHeight="1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ht="17.25" customHeight="1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ht="17.25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ht="17.25" customHeight="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ht="17.25" customHeight="1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ht="17.25" customHeight="1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ht="17.2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7.2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7.2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7.2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7.2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7.2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7">
    <mergeCell ref="A1:J1"/>
    <mergeCell ref="A2:G2"/>
    <mergeCell ref="A3:G3"/>
    <mergeCell ref="A4:F4"/>
    <mergeCell ref="A6:B6"/>
    <mergeCell ref="A7:G7"/>
    <mergeCell ref="A9:D9"/>
  </mergeCells>
  <drawing r:id="rId1"/>
</worksheet>
</file>